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hidePivotFieldList="1" defaultThemeVersion="166925"/>
  <mc:AlternateContent xmlns:mc="http://schemas.openxmlformats.org/markup-compatibility/2006">
    <mc:Choice Requires="x15">
      <x15ac:absPath xmlns:x15ac="http://schemas.microsoft.com/office/spreadsheetml/2010/11/ac" url="C:\Users\vilango\Downloads\"/>
    </mc:Choice>
  </mc:AlternateContent>
  <xr:revisionPtr revIDLastSave="0" documentId="10_ncr:100000_{0F30888E-E01B-4780-A99E-E8D4C27BC2E4}" xr6:coauthVersionLast="31" xr6:coauthVersionMax="31" xr10:uidLastSave="{00000000-0000-0000-0000-000000000000}"/>
  <bookViews>
    <workbookView xWindow="0" yWindow="0" windowWidth="19200" windowHeight="7410" xr2:uid="{A8A920D4-8F7A-4E5C-9E19-D6CA61B8A1D2}"/>
  </bookViews>
  <sheets>
    <sheet name="README" sheetId="10" r:id="rId1"/>
    <sheet name="Create" sheetId="8" r:id="rId2"/>
    <sheet name="Query_Update" sheetId="1" r:id="rId3"/>
    <sheet name="Analysis" sheetId="15" r:id="rId4"/>
    <sheet name="Holidays" sheetId="14" r:id="rId5"/>
    <sheet name="Updates" sheetId="12" r:id="rId6"/>
    <sheet name="Requests" sheetId="13" r:id="rId7"/>
    <sheet name="IDs" sheetId="5" r:id="rId8"/>
    <sheet name="ChangeTracker" sheetId="9" state="hidden" r:id="rId9"/>
    <sheet name="Gantt_WIP" sheetId="4" state="hidden" r:id="rId10"/>
  </sheets>
  <functionGroups builtInGroupCount="19"/>
  <definedNames>
    <definedName name="_xlnm._FilterDatabase" localSheetId="2" hidden="1">Query_Update!$A$8:$O$8</definedName>
    <definedName name="IDSID_Search">IDs!$AQ$2:INDEX(IDs!$AQ$2:$AQ$2,COUNTIF(IDs!$AQ$2:$AQ$2,"?*"))</definedName>
    <definedName name="Slicer_Fix_version_s">#N/A</definedName>
    <definedName name="Slicer_Trend">#N/A</definedName>
  </definedNames>
  <calcPr calcId="179017"/>
  <pivotCaches>
    <pivotCache cacheId="131"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1" l="1"/>
  <c r="C7" i="1" l="1"/>
  <c r="F2" i="4" l="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AE1" i="4" s="1"/>
  <c r="X1" i="4" l="1"/>
  <c r="T1" i="4"/>
  <c r="L1" i="4"/>
  <c r="W1" i="4"/>
  <c r="S1" i="4"/>
  <c r="K1" i="4"/>
  <c r="AD1" i="4"/>
  <c r="Z1" i="4"/>
  <c r="V1" i="4"/>
  <c r="R1" i="4"/>
  <c r="N1" i="4"/>
  <c r="J1" i="4"/>
  <c r="AC1" i="4"/>
  <c r="Y1" i="4"/>
  <c r="U1" i="4"/>
  <c r="Q1" i="4"/>
  <c r="M1" i="4"/>
  <c r="I1" i="4"/>
  <c r="H1" i="4"/>
  <c r="AB1" i="4"/>
  <c r="P1" i="4"/>
  <c r="AA1" i="4"/>
  <c r="O1" i="4"/>
  <c r="G1" i="4"/>
  <c r="F1" i="4"/>
</calcChain>
</file>

<file path=xl/sharedStrings.xml><?xml version="1.0" encoding="utf-8"?>
<sst xmlns="http://schemas.openxmlformats.org/spreadsheetml/2006/main" count="377" uniqueCount="188">
  <si>
    <t>ID</t>
  </si>
  <si>
    <t>Assignee</t>
  </si>
  <si>
    <t>Issue Type</t>
  </si>
  <si>
    <t>Due Date</t>
  </si>
  <si>
    <t>Start Date</t>
  </si>
  <si>
    <t>End Date</t>
  </si>
  <si>
    <t>Priority</t>
  </si>
  <si>
    <t>Summary</t>
  </si>
  <si>
    <t>Bug</t>
  </si>
  <si>
    <t>Feature</t>
  </si>
  <si>
    <t>Status</t>
  </si>
  <si>
    <t>Open</t>
  </si>
  <si>
    <t>New</t>
  </si>
  <si>
    <t>Component(s)</t>
  </si>
  <si>
    <t>Add Comment</t>
  </si>
  <si>
    <t>Issue ID</t>
  </si>
  <si>
    <t>Effort</t>
  </si>
  <si>
    <t>Start</t>
  </si>
  <si>
    <t>Resolution</t>
  </si>
  <si>
    <t>Epic Link</t>
  </si>
  <si>
    <t>Remaining Estimate</t>
  </si>
  <si>
    <t>Time Spent</t>
  </si>
  <si>
    <t>Release Date</t>
  </si>
  <si>
    <t>Project</t>
  </si>
  <si>
    <t>Original Estimate</t>
  </si>
  <si>
    <t>Description</t>
  </si>
  <si>
    <t>Comment</t>
  </si>
  <si>
    <t>Issue Key</t>
  </si>
  <si>
    <t>Epic Key</t>
  </si>
  <si>
    <t>Filter</t>
  </si>
  <si>
    <t>Done</t>
  </si>
  <si>
    <t>Last Update</t>
  </si>
  <si>
    <t>Fix Version</t>
  </si>
  <si>
    <t>Label</t>
  </si>
  <si>
    <t>Creation Time</t>
  </si>
  <si>
    <t>Created ID</t>
  </si>
  <si>
    <t>Duration</t>
  </si>
  <si>
    <t>Text</t>
  </si>
  <si>
    <t>Prefix</t>
  </si>
  <si>
    <t>Sheet IDs</t>
  </si>
  <si>
    <t>Sheet Create</t>
  </si>
  <si>
    <t>Project to create the issue in</t>
  </si>
  <si>
    <t>Epic to link to</t>
  </si>
  <si>
    <t>Implicit</t>
  </si>
  <si>
    <t>Summary prefix for all items</t>
  </si>
  <si>
    <t>Trend</t>
  </si>
  <si>
    <t>Assessment</t>
  </si>
  <si>
    <t>Name</t>
  </si>
  <si>
    <t>IDSID</t>
  </si>
  <si>
    <t>Found?</t>
  </si>
  <si>
    <t>Fequency</t>
  </si>
  <si>
    <t>Search List</t>
  </si>
  <si>
    <t>Populates  a list of 22 issues that are defined as a template. This can be used for RCRs and DCNs for new programs
Columns B1 through B7 are used to populate the template</t>
  </si>
  <si>
    <t>JiraPriorityIds</t>
  </si>
  <si>
    <t>FavouriteFilters</t>
  </si>
  <si>
    <t>JiraFieldIds</t>
  </si>
  <si>
    <t>JiraStatusIDs</t>
  </si>
  <si>
    <t>JiraProjectIDs</t>
  </si>
  <si>
    <t>JiraIssueTypeIDs</t>
  </si>
  <si>
    <t>All supported JIRA issue types</t>
  </si>
  <si>
    <t>All projects in JIRA</t>
  </si>
  <si>
    <t>All states possible in JIRA (not tied to an issue type)</t>
  </si>
  <si>
    <t>All fiels in JIRA</t>
  </si>
  <si>
    <t>Favourite filter list of current user</t>
  </si>
  <si>
    <t>All priorities of JIRA</t>
  </si>
  <si>
    <t>Sheet Query_Update</t>
  </si>
  <si>
    <t/>
  </si>
  <si>
    <t>Used to query and update JIRA items based on certain criteria</t>
  </si>
  <si>
    <t>Supported queries</t>
  </si>
  <si>
    <t>Get issue ID mentioned in cell B4</t>
  </si>
  <si>
    <t>Get issues linked to epic ID mentioned in cell B5</t>
  </si>
  <si>
    <t>Cell B6 calls out the time for a requested operation (search/update)</t>
  </si>
  <si>
    <t>Cell B7 tells the time of last JIRA API call. This is required to assess session key generation</t>
  </si>
  <si>
    <t>Cell D1 holds the JIRA cookie key for current session</t>
  </si>
  <si>
    <t>Cell D2 provides an option to query for IDSID from employee's full name</t>
  </si>
  <si>
    <t>On successful update to JIRA, cell background color changes to "Green"</t>
  </si>
  <si>
    <t>Get Description</t>
  </si>
  <si>
    <t>Macro to query as well as update description of JIRA issue selected in JiraQueryUpdateTable. Implemented using excel's userform</t>
  </si>
  <si>
    <t>Get Comment</t>
  </si>
  <si>
    <t>Macro to query, modify, delete and add new comments. Implemented using excel's userform</t>
  </si>
  <si>
    <t>Get Worklog</t>
  </si>
  <si>
    <t>Macro to query, modify, delete and add new worklog. Implemented using excel's userform</t>
  </si>
  <si>
    <t>Update to JIRA</t>
  </si>
  <si>
    <t>Reads all updates in JiraQueryUpdateTable and uses rest APIs to update JIRA</t>
  </si>
  <si>
    <t>Field</t>
  </si>
  <si>
    <t>Create</t>
  </si>
  <si>
    <t>Query</t>
  </si>
  <si>
    <t>Update</t>
  </si>
  <si>
    <t>Get Template</t>
  </si>
  <si>
    <t>Create Issues from Table</t>
  </si>
  <si>
    <t>Component</t>
  </si>
  <si>
    <t>Worklog</t>
  </si>
  <si>
    <t>ü</t>
  </si>
  <si>
    <t>û</t>
  </si>
  <si>
    <t>Refresh IDs</t>
  </si>
  <si>
    <t>Clears all tables and queries the data from JIRA</t>
  </si>
  <si>
    <t>Failure to update to JIRA retains the cell's "Yellow" background color
Error message will be captured in column S</t>
  </si>
  <si>
    <t>Multiple tables that capture few of the field's supported values</t>
  </si>
  <si>
    <t>Used to create issues in JIRA</t>
  </si>
  <si>
    <r>
      <t xml:space="preserve">Create JIRA items for the enteries specified in the table
</t>
    </r>
    <r>
      <rPr>
        <b/>
        <sz val="10"/>
        <color rgb="FFFF0000"/>
        <rFont val="Intel Clear"/>
        <family val="2"/>
      </rPr>
      <t>Tested only for story issue type</t>
    </r>
  </si>
  <si>
    <t>Resume Tracking</t>
  </si>
  <si>
    <t>Use this to resume modifications in JiraQueryUpdateTable</t>
  </si>
  <si>
    <t>Get all issues assigned to user specified in cell B3</t>
  </si>
  <si>
    <t>Get issues in filter ID provided in cell B2</t>
  </si>
  <si>
    <t>Get issues with user provided text in cell B1</t>
  </si>
  <si>
    <t>IDSID search: Gets the IDSID of user name provided in cell D2</t>
  </si>
  <si>
    <t>JiraQueryUpdateTable 
(Table with entries populated from query as well as used to track and determine changes to be updated to JIRA)</t>
  </si>
  <si>
    <t>Deleting cell content changes cell background color to "Red". This is only for reference and is not updated to JIRA</t>
  </si>
  <si>
    <t>Date</t>
  </si>
  <si>
    <t>Type</t>
  </si>
  <si>
    <t>Comments</t>
  </si>
  <si>
    <t>Enhancement</t>
  </si>
  <si>
    <t>Handle authorization errors during comment fetch</t>
  </si>
  <si>
    <t>Trend forecast for any issue</t>
  </si>
  <si>
    <t>Query issue links</t>
  </si>
  <si>
    <t>Fix version not added during create issue</t>
  </si>
  <si>
    <t>Implement undo stack for query_update table</t>
  </si>
  <si>
    <t>If unused for longer duration, session key gets invalidated.
When user tries to perform a JIRA action after this expiry duration, the queried json will be empty. Accessing an empty object leads to an exception.
Here, query from/update to JIRA exits on re-authorization. This will force user to re-try the query/update action thus avoiding the null object reference exception</t>
  </si>
  <si>
    <t>Submitter</t>
  </si>
  <si>
    <t>Fixed null reference during empty json response from JIRA</t>
  </si>
  <si>
    <t>Fix version(s)</t>
  </si>
  <si>
    <t>Refresh ID prints all users but does not update the User table, it just has one row</t>
  </si>
  <si>
    <t>In general authorization failure results in session ID query. In this case, earlier session ID was present which was no longer valid</t>
  </si>
  <si>
    <t>Regression with JSON population</t>
  </si>
  <si>
    <t>[WW51.4] Fixed by resizing user table
Workaround is to extend the table to include all pasted users</t>
  </si>
  <si>
    <t>Added option to query/update acceptance criteria</t>
  </si>
  <si>
    <t>Removed footers for comment/worklog add/modify</t>
  </si>
  <si>
    <t>This was initially added to track excel JIRA connector</t>
  </si>
  <si>
    <t>Blocked By</t>
  </si>
  <si>
    <t>Blocks</t>
  </si>
  <si>
    <t>Error happens during new table creation</t>
  </si>
  <si>
    <t>This is required to group issues based on their epic</t>
  </si>
  <si>
    <t>Works for only single issue ID for blocks/is blocked by/epic link at a time</t>
  </si>
  <si>
    <t>Bandwidth Planned</t>
  </si>
  <si>
    <t>Best Case End Date</t>
  </si>
  <si>
    <t>Added "Bandwidth", "Trend", "Best End Date", "Assessment" columns to query update table</t>
  </si>
  <si>
    <t>Added "Epic Link", "Blocks" and "Blocked By" to Query Update table</t>
  </si>
  <si>
    <t>These are calculated not fetched from JIRA</t>
  </si>
  <si>
    <t>Count of ID</t>
  </si>
  <si>
    <t>Grand Total</t>
  </si>
  <si>
    <t>Estimate Assessment</t>
  </si>
  <si>
    <t>Implemented calculations for "Bandwidth", "Trend", "Best End Date", "Assessment" fields</t>
  </si>
  <si>
    <t>Implemented update functionality for "Epic Link", "Blocks", "Is blocked by"</t>
  </si>
  <si>
    <t>Fixed runtime error handling for IDSID dropdown in Query_Update!B3</t>
  </si>
  <si>
    <t>Fixed error handling for update/query with expired session ID</t>
  </si>
  <si>
    <t>Implemented close on "Escape key" for comments, worklog and description pop-ups</t>
  </si>
  <si>
    <t>Added footers for comment/worklog add/modify</t>
  </si>
  <si>
    <t>Intel India Holidays 2019</t>
  </si>
  <si>
    <r>
      <t xml:space="preserve">Changes are tracked with "Yellow" background cell color
</t>
    </r>
    <r>
      <rPr>
        <b/>
        <sz val="10"/>
        <color theme="1"/>
        <rFont val="Intel Clear"/>
        <family val="2"/>
      </rPr>
      <t xml:space="preserve">This is accomplised using excel's sheet change library because of which </t>
    </r>
    <r>
      <rPr>
        <b/>
        <sz val="11"/>
        <color rgb="FFFF0000"/>
        <rFont val="Intel Clear"/>
        <family val="2"/>
      </rPr>
      <t>Undo functionality will not work in the table</t>
    </r>
    <r>
      <rPr>
        <b/>
        <sz val="10"/>
        <color theme="1"/>
        <rFont val="Intel Clear"/>
        <family val="2"/>
      </rPr>
      <t xml:space="preserve">
Workaround will be to implement Undo stack for the table. This is currently not supported
</t>
    </r>
    <r>
      <rPr>
        <b/>
        <sz val="11"/>
        <color rgb="FFFF0000"/>
        <rFont val="Intel Clear"/>
        <family val="2"/>
      </rPr>
      <t>Another limitation is bulk copy/paste traction is not handled. It is recommended to use cell by cell updates instead of bulk or manually change the cell color to yellow</t>
    </r>
  </si>
  <si>
    <t>Intel US Holidays 2019</t>
  </si>
  <si>
    <t>Regression introduced while adding additional columns to Query_Update table</t>
  </si>
  <si>
    <t>Implemented as part of Update ID 11</t>
  </si>
  <si>
    <t>Implemented as part of Update ID 9 &amp; 10. Limited to blocks and blocked by</t>
  </si>
  <si>
    <t>Single click bulk update is not seamless. Few fields are not updated to JIRA, it requires another "Update to Jira" button click</t>
  </si>
  <si>
    <t>Fixed a bug that was forcing time spent update to always 1h</t>
  </si>
  <si>
    <t>Undo not supported in table, please exercise caution. Bulk changes to table won't be tracked either, use single cell updates only</t>
  </si>
  <si>
    <t>Field Name</t>
  </si>
  <si>
    <t>Filter Name</t>
  </si>
  <si>
    <t>Component Name</t>
  </si>
  <si>
    <t>Added conditional format: Red backfill for items whose end date is not at least 2ww prior to milestone release</t>
  </si>
  <si>
    <t>Red backfill: Open items whose end date falls within 2weeks of milestone release date. This means we have little room for error</t>
  </si>
  <si>
    <t>Custom Field 0</t>
  </si>
  <si>
    <t>Custom Field 1</t>
  </si>
  <si>
    <t>Custom Field 2</t>
  </si>
  <si>
    <t>Proj1 Fix Version</t>
  </si>
  <si>
    <t>Proj2 Fix Version</t>
  </si>
  <si>
    <t>(blank)</t>
  </si>
  <si>
    <t>ProjFlags</t>
  </si>
  <si>
    <t>Flags of Proj project</t>
  </si>
  <si>
    <t>ProjComponents</t>
  </si>
  <si>
    <t>All components of Proj project</t>
  </si>
  <si>
    <t>ProjPlatforms</t>
  </si>
  <si>
    <t>All platforms of Proj project</t>
  </si>
  <si>
    <t>ProjOSes</t>
  </si>
  <si>
    <t>All OSes of Proj project</t>
  </si>
  <si>
    <t>ProjUsers</t>
  </si>
  <si>
    <t>All users assignable to an issue in Proj project</t>
  </si>
  <si>
    <t>Proj1FixVersionIds</t>
  </si>
  <si>
    <t>Fix version list of Proj1 project</t>
  </si>
  <si>
    <t>Fix version list of Proj2 project</t>
  </si>
  <si>
    <t>Proj2FixVersionIds</t>
  </si>
  <si>
    <t>Custom Field</t>
  </si>
  <si>
    <t>Owner 1</t>
  </si>
  <si>
    <t>Owner 2</t>
  </si>
  <si>
    <t>Owner 3</t>
  </si>
  <si>
    <t>Owner 4</t>
  </si>
  <si>
    <t>Owner 5</t>
  </si>
  <si>
    <t>Vivek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</si>
</sst>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dd\-mmm\-yy"/>
    <numFmt numFmtId="166" formatCode="hh:mm:ss\ AM/PM"/>
    <numFmt numFmtId="167" formatCode="dd/mmm/yyyy"/>
  </numFmts>
  <fonts count="29" x14ac:knownFonts="1">
    <font>
      <sz val="11"/>
      <color theme="1"/>
      <name val="Calibri"/>
      <family val="2"/>
      <scheme val="minor"/>
    </font>
    <font>
      <b/>
      <sz val="11"/>
      <color theme="0"/>
      <name val="Calibri"/>
      <family val="2"/>
      <scheme val="minor"/>
    </font>
    <font>
      <sz val="9"/>
      <color theme="1"/>
      <name val="Intel Clear"/>
      <family val="2"/>
    </font>
    <font>
      <b/>
      <sz val="10"/>
      <color theme="0"/>
      <name val="Intel Clear"/>
      <family val="2"/>
    </font>
    <font>
      <sz val="10"/>
      <color theme="1"/>
      <name val="Intel Clear"/>
      <family val="2"/>
    </font>
    <font>
      <b/>
      <sz val="10"/>
      <color theme="1"/>
      <name val="Intel Clear"/>
      <family val="2"/>
    </font>
    <font>
      <b/>
      <sz val="10"/>
      <color rgb="FFFF0000"/>
      <name val="Intel Clear"/>
      <family val="2"/>
    </font>
    <font>
      <b/>
      <sz val="11"/>
      <color rgb="FFFF0000"/>
      <name val="Intel Clear"/>
      <family val="2"/>
    </font>
    <font>
      <sz val="14"/>
      <color theme="1"/>
      <name val="Wingdings"/>
      <charset val="2"/>
    </font>
    <font>
      <b/>
      <sz val="14"/>
      <color theme="1"/>
      <name val="Intel Clear"/>
      <family val="2"/>
    </font>
    <font>
      <b/>
      <sz val="16"/>
      <color rgb="FFFF0000"/>
      <name val="Intel Clear"/>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1"/>
      <color rgb="FF9C6500"/>
      <name val="Calibri"/>
      <family val="2"/>
      <scheme val="minor"/>
    </font>
    <font>
      <b/>
      <sz val="18"/>
      <color theme="3"/>
      <name val="Calibri Light"/>
      <family val="2"/>
      <scheme val="major"/>
    </font>
  </fonts>
  <fills count="4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59999389629810485"/>
        <bgColor theme="4" tint="0.59999389629810485"/>
      </patternFill>
    </fill>
  </fills>
  <borders count="51">
    <border>
      <left/>
      <right/>
      <top/>
      <bottom/>
      <diagonal/>
    </border>
    <border>
      <left style="thin">
        <color theme="4"/>
      </left>
      <right/>
      <top/>
      <bottom/>
      <diagonal/>
    </border>
    <border>
      <left/>
      <right style="thin">
        <color theme="4"/>
      </right>
      <top/>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right style="thin">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53">
    <xf numFmtId="0" fontId="0" fillId="0" borderId="0"/>
    <xf numFmtId="0" fontId="12" fillId="0" borderId="0" applyNumberFormat="0" applyFill="0" applyBorder="0" applyAlignment="0" applyProtection="0"/>
    <xf numFmtId="0" fontId="13" fillId="0" borderId="27" applyNumberFormat="0" applyFill="0" applyAlignment="0" applyProtection="0"/>
    <xf numFmtId="0" fontId="14" fillId="0" borderId="28" applyNumberFormat="0" applyFill="0" applyAlignment="0" applyProtection="0"/>
    <xf numFmtId="0" fontId="15" fillId="0" borderId="29" applyNumberFormat="0" applyFill="0" applyAlignment="0" applyProtection="0"/>
    <xf numFmtId="0" fontId="15" fillId="0" borderId="0" applyNumberFormat="0" applyFill="0" applyBorder="0" applyAlignment="0" applyProtection="0"/>
    <xf numFmtId="0" fontId="16" fillId="8" borderId="0" applyNumberFormat="0" applyBorder="0" applyAlignment="0" applyProtection="0"/>
    <xf numFmtId="0" fontId="17" fillId="9" borderId="0" applyNumberFormat="0" applyBorder="0" applyAlignment="0" applyProtection="0"/>
    <xf numFmtId="0" fontId="18" fillId="11" borderId="30" applyNumberFormat="0" applyAlignment="0" applyProtection="0"/>
    <xf numFmtId="0" fontId="19" fillId="12" borderId="31" applyNumberFormat="0" applyAlignment="0" applyProtection="0"/>
    <xf numFmtId="0" fontId="20" fillId="12" borderId="30" applyNumberFormat="0" applyAlignment="0" applyProtection="0"/>
    <xf numFmtId="0" fontId="21" fillId="0" borderId="32" applyNumberFormat="0" applyFill="0" applyAlignment="0" applyProtection="0"/>
    <xf numFmtId="0" fontId="1" fillId="13" borderId="33" applyNumberFormat="0" applyAlignment="0" applyProtection="0"/>
    <xf numFmtId="0" fontId="22" fillId="0" borderId="0" applyNumberFormat="0" applyFill="0" applyBorder="0" applyAlignment="0" applyProtection="0"/>
    <xf numFmtId="0" fontId="11" fillId="14" borderId="34" applyNumberFormat="0" applyFont="0" applyAlignment="0" applyProtection="0"/>
    <xf numFmtId="0" fontId="23" fillId="0" borderId="0" applyNumberFormat="0" applyFill="0" applyBorder="0" applyAlignment="0" applyProtection="0"/>
    <xf numFmtId="0" fontId="24" fillId="0" borderId="35" applyNumberFormat="0" applyFill="0" applyAlignment="0" applyProtection="0"/>
    <xf numFmtId="0" fontId="25"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25"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25"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25" fillId="27" borderId="0" applyNumberFormat="0" applyBorder="0" applyAlignment="0" applyProtection="0"/>
    <xf numFmtId="0" fontId="11" fillId="28" borderId="0" applyNumberFormat="0" applyBorder="0" applyAlignment="0" applyProtection="0"/>
    <xf numFmtId="0" fontId="11" fillId="29" borderId="0" applyNumberFormat="0" applyBorder="0" applyAlignment="0" applyProtection="0"/>
    <xf numFmtId="0" fontId="25" fillId="31" borderId="0" applyNumberFormat="0" applyBorder="0" applyAlignment="0" applyProtection="0"/>
    <xf numFmtId="0" fontId="11" fillId="32" borderId="0" applyNumberFormat="0" applyBorder="0" applyAlignment="0" applyProtection="0"/>
    <xf numFmtId="0" fontId="11" fillId="33" borderId="0" applyNumberFormat="0" applyBorder="0" applyAlignment="0" applyProtection="0"/>
    <xf numFmtId="0" fontId="25"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0" borderId="0"/>
    <xf numFmtId="0" fontId="26" fillId="0" borderId="0"/>
    <xf numFmtId="0" fontId="11" fillId="0" borderId="0"/>
    <xf numFmtId="0" fontId="11" fillId="0" borderId="0"/>
    <xf numFmtId="0" fontId="11" fillId="0" borderId="0"/>
    <xf numFmtId="0" fontId="11" fillId="0" borderId="0"/>
    <xf numFmtId="0" fontId="11" fillId="0" borderId="0"/>
    <xf numFmtId="0" fontId="26" fillId="0" borderId="0"/>
    <xf numFmtId="0" fontId="26" fillId="0" borderId="0"/>
    <xf numFmtId="0" fontId="26" fillId="0" borderId="0"/>
    <xf numFmtId="0" fontId="27" fillId="10"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xf numFmtId="0" fontId="25" fillId="38" borderId="0" applyNumberFormat="0" applyBorder="0" applyAlignment="0" applyProtection="0"/>
    <xf numFmtId="0" fontId="28" fillId="0" borderId="0" applyNumberFormat="0" applyFill="0" applyBorder="0" applyAlignment="0" applyProtection="0"/>
  </cellStyleXfs>
  <cellXfs count="112">
    <xf numFmtId="0" fontId="0" fillId="0" borderId="0" xfId="0"/>
    <xf numFmtId="14" fontId="0" fillId="0" borderId="0" xfId="0" applyNumberFormat="1"/>
    <xf numFmtId="17" fontId="0" fillId="0" borderId="0" xfId="0" applyNumberFormat="1"/>
    <xf numFmtId="0" fontId="0" fillId="2" borderId="0" xfId="0" applyFill="1"/>
    <xf numFmtId="0" fontId="0" fillId="3" borderId="0" xfId="0" applyFill="1"/>
    <xf numFmtId="0" fontId="0" fillId="4" borderId="0" xfId="0" applyFill="1"/>
    <xf numFmtId="0" fontId="0" fillId="0" borderId="0" xfId="0" applyAlignment="1">
      <alignment vertical="center"/>
    </xf>
    <xf numFmtId="0" fontId="0" fillId="0" borderId="0" xfId="0" applyAlignment="1">
      <alignment horizontal="center" vertical="center"/>
    </xf>
    <xf numFmtId="0" fontId="0" fillId="0" borderId="0" xfId="0" applyAlignment="1"/>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vertical="center"/>
    </xf>
    <xf numFmtId="0" fontId="4" fillId="0" borderId="0" xfId="0" applyFont="1" applyAlignment="1">
      <alignment horizontal="center" vertical="center"/>
    </xf>
    <xf numFmtId="0" fontId="4" fillId="0" borderId="0" xfId="0" applyFont="1" applyAlignment="1">
      <alignment vertical="center"/>
    </xf>
    <xf numFmtId="0" fontId="4" fillId="0" borderId="3" xfId="0" applyFont="1" applyBorder="1" applyAlignment="1">
      <alignment vertical="center"/>
    </xf>
    <xf numFmtId="0" fontId="1" fillId="0" borderId="4" xfId="0" applyFont="1" applyFill="1" applyBorder="1" applyAlignment="1">
      <alignment horizontal="left" vertical="center"/>
    </xf>
    <xf numFmtId="165" fontId="1" fillId="0" borderId="4" xfId="0" applyNumberFormat="1" applyFont="1" applyFill="1" applyBorder="1" applyAlignment="1">
      <alignment horizontal="left" vertical="center"/>
    </xf>
    <xf numFmtId="0" fontId="0" fillId="0" borderId="0" xfId="0" applyFill="1" applyAlignment="1">
      <alignment vertical="center"/>
    </xf>
    <xf numFmtId="14" fontId="0" fillId="0" borderId="0" xfId="0" applyNumberFormat="1" applyAlignment="1">
      <alignment wrapText="1"/>
    </xf>
    <xf numFmtId="22" fontId="0" fillId="0" borderId="0" xfId="0" applyNumberFormat="1" applyFill="1" applyAlignment="1">
      <alignment vertical="center"/>
    </xf>
    <xf numFmtId="0" fontId="0" fillId="0" borderId="0" xfId="0" applyFill="1"/>
    <xf numFmtId="0" fontId="1" fillId="0" borderId="1" xfId="0" applyFont="1" applyFill="1" applyBorder="1" applyAlignment="1">
      <alignment horizontal="center" vertical="center"/>
    </xf>
    <xf numFmtId="0" fontId="1" fillId="0" borderId="4" xfId="0" applyFont="1" applyFill="1" applyBorder="1" applyAlignment="1">
      <alignment horizontal="center" vertical="center"/>
    </xf>
    <xf numFmtId="0" fontId="0" fillId="0" borderId="3" xfId="0" applyBorder="1"/>
    <xf numFmtId="0" fontId="0" fillId="0" borderId="0" xfId="0" applyNumberFormat="1"/>
    <xf numFmtId="0" fontId="4" fillId="6" borderId="11" xfId="0" applyFont="1" applyFill="1" applyBorder="1" applyAlignment="1">
      <alignment vertical="center"/>
    </xf>
    <xf numFmtId="0" fontId="4" fillId="0" borderId="13" xfId="0" applyFont="1" applyBorder="1" applyAlignment="1">
      <alignment vertical="center" wrapText="1"/>
    </xf>
    <xf numFmtId="0" fontId="4" fillId="0" borderId="15" xfId="0" applyFont="1" applyBorder="1" applyAlignment="1">
      <alignment vertical="center"/>
    </xf>
    <xf numFmtId="0" fontId="4" fillId="0" borderId="16" xfId="0" applyFont="1" applyBorder="1" applyAlignment="1">
      <alignment vertical="center" wrapText="1"/>
    </xf>
    <xf numFmtId="0" fontId="4" fillId="5" borderId="8" xfId="0" applyFont="1" applyFill="1" applyBorder="1" applyAlignment="1">
      <alignment vertical="center"/>
    </xf>
    <xf numFmtId="0" fontId="4" fillId="5" borderId="0" xfId="0" applyFont="1" applyFill="1" applyBorder="1" applyAlignment="1">
      <alignment vertical="center"/>
    </xf>
    <xf numFmtId="0" fontId="4" fillId="5" borderId="9" xfId="0" applyFont="1" applyFill="1" applyBorder="1" applyAlignment="1">
      <alignment vertical="center"/>
    </xf>
    <xf numFmtId="0" fontId="4" fillId="0" borderId="13" xfId="0" applyFont="1" applyBorder="1" applyAlignment="1">
      <alignment vertical="center"/>
    </xf>
    <xf numFmtId="0" fontId="4" fillId="0" borderId="16" xfId="0" applyFont="1" applyBorder="1" applyAlignment="1">
      <alignment vertical="center"/>
    </xf>
    <xf numFmtId="0" fontId="4" fillId="0" borderId="0" xfId="0" applyFont="1" applyBorder="1" applyAlignment="1">
      <alignment vertical="center"/>
    </xf>
    <xf numFmtId="0" fontId="4" fillId="0" borderId="9" xfId="0" applyFont="1" applyBorder="1" applyAlignment="1">
      <alignment vertical="center"/>
    </xf>
    <xf numFmtId="0" fontId="8" fillId="4" borderId="3" xfId="0" applyFont="1" applyFill="1" applyBorder="1" applyAlignment="1">
      <alignment horizontal="center" vertical="center"/>
    </xf>
    <xf numFmtId="0" fontId="8" fillId="3" borderId="3" xfId="0" applyFont="1" applyFill="1" applyBorder="1" applyAlignment="1">
      <alignment horizontal="center" vertical="center"/>
    </xf>
    <xf numFmtId="0" fontId="4" fillId="0" borderId="12" xfId="0" applyFont="1" applyBorder="1" applyAlignment="1">
      <alignment vertical="center"/>
    </xf>
    <xf numFmtId="0" fontId="8" fillId="4" borderId="13" xfId="0" applyFont="1" applyFill="1" applyBorder="1" applyAlignment="1">
      <alignment horizontal="center" vertical="center"/>
    </xf>
    <xf numFmtId="0" fontId="8" fillId="3" borderId="13" xfId="0" applyFont="1" applyFill="1" applyBorder="1" applyAlignment="1">
      <alignment horizontal="center" vertical="center"/>
    </xf>
    <xf numFmtId="0" fontId="4" fillId="0" borderId="14" xfId="0" applyFont="1" applyBorder="1" applyAlignment="1">
      <alignment vertical="center"/>
    </xf>
    <xf numFmtId="0" fontId="8" fillId="3" borderId="15" xfId="0" applyFont="1" applyFill="1" applyBorder="1" applyAlignment="1">
      <alignment horizontal="center" vertical="center"/>
    </xf>
    <xf numFmtId="0" fontId="8" fillId="4" borderId="15" xfId="0" applyFont="1" applyFill="1" applyBorder="1" applyAlignment="1">
      <alignment horizontal="center" vertical="center"/>
    </xf>
    <xf numFmtId="0" fontId="4" fillId="0" borderId="18" xfId="0" applyFont="1" applyBorder="1" applyAlignment="1">
      <alignment vertical="center"/>
    </xf>
    <xf numFmtId="0" fontId="8" fillId="4" borderId="17" xfId="0" applyFont="1" applyFill="1" applyBorder="1" applyAlignment="1">
      <alignment horizontal="center" vertical="center"/>
    </xf>
    <xf numFmtId="0" fontId="8" fillId="4" borderId="19" xfId="0" applyFont="1" applyFill="1" applyBorder="1" applyAlignment="1">
      <alignment horizontal="center" vertical="center"/>
    </xf>
    <xf numFmtId="0" fontId="9" fillId="7" borderId="20" xfId="0" applyFont="1" applyFill="1" applyBorder="1" applyAlignment="1">
      <alignment vertical="center"/>
    </xf>
    <xf numFmtId="0" fontId="9" fillId="7" borderId="21" xfId="0" applyFont="1" applyFill="1" applyBorder="1" applyAlignment="1">
      <alignment vertical="center"/>
    </xf>
    <xf numFmtId="0" fontId="9" fillId="7" borderId="22" xfId="0" applyFont="1" applyFill="1" applyBorder="1" applyAlignment="1">
      <alignment vertical="center"/>
    </xf>
    <xf numFmtId="0" fontId="9" fillId="6" borderId="10" xfId="0" applyFont="1" applyFill="1" applyBorder="1" applyAlignment="1">
      <alignment vertical="center"/>
    </xf>
    <xf numFmtId="0" fontId="4" fillId="5" borderId="5" xfId="0" applyFont="1" applyFill="1" applyBorder="1" applyAlignment="1">
      <alignment vertical="center"/>
    </xf>
    <xf numFmtId="0" fontId="4" fillId="5" borderId="6" xfId="0" applyFont="1" applyFill="1" applyBorder="1" applyAlignment="1">
      <alignment vertical="center"/>
    </xf>
    <xf numFmtId="0" fontId="4" fillId="5" borderId="7" xfId="0" applyFont="1" applyFill="1" applyBorder="1" applyAlignment="1">
      <alignment vertical="center"/>
    </xf>
    <xf numFmtId="0" fontId="5" fillId="7" borderId="26" xfId="0" applyFont="1" applyFill="1" applyBorder="1" applyAlignment="1">
      <alignment vertical="center"/>
    </xf>
    <xf numFmtId="15" fontId="4"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Alignment="1">
      <alignment vertical="center" wrapText="1"/>
    </xf>
    <xf numFmtId="0" fontId="4" fillId="0" borderId="0" xfId="0" applyNumberFormat="1" applyFont="1" applyBorder="1" applyAlignment="1">
      <alignment vertical="center"/>
    </xf>
    <xf numFmtId="0" fontId="4" fillId="0" borderId="0" xfId="0" applyFont="1" applyAlignment="1">
      <alignment vertical="center" wrapText="1"/>
    </xf>
    <xf numFmtId="165" fontId="1" fillId="0" borderId="4" xfId="0" applyNumberFormat="1" applyFont="1" applyFill="1" applyBorder="1" applyAlignment="1">
      <alignment horizontal="center" vertical="center"/>
    </xf>
    <xf numFmtId="0" fontId="1" fillId="0" borderId="1" xfId="0" applyFont="1" applyFill="1" applyBorder="1" applyAlignment="1">
      <alignment vertical="center"/>
    </xf>
    <xf numFmtId="0" fontId="1" fillId="0" borderId="0" xfId="0" applyFont="1" applyFill="1" applyBorder="1" applyAlignment="1">
      <alignment vertical="center"/>
    </xf>
    <xf numFmtId="165" fontId="0" fillId="0" borderId="0" xfId="0" applyNumberFormat="1" applyFill="1" applyAlignment="1">
      <alignment vertical="center"/>
    </xf>
    <xf numFmtId="0" fontId="8" fillId="2" borderId="13" xfId="0" applyFont="1" applyFill="1" applyBorder="1" applyAlignment="1">
      <alignment horizontal="center" vertical="center"/>
    </xf>
    <xf numFmtId="0" fontId="8" fillId="2" borderId="16" xfId="0" applyFont="1" applyFill="1" applyBorder="1" applyAlignment="1">
      <alignment horizontal="center" vertical="center"/>
    </xf>
    <xf numFmtId="165" fontId="1" fillId="0" borderId="0" xfId="0" applyNumberFormat="1" applyFont="1" applyFill="1" applyBorder="1" applyAlignment="1">
      <alignment vertical="center"/>
    </xf>
    <xf numFmtId="165" fontId="1" fillId="0" borderId="2" xfId="0" applyNumberFormat="1" applyFont="1" applyFill="1" applyBorder="1" applyAlignment="1">
      <alignment vertical="center"/>
    </xf>
    <xf numFmtId="10" fontId="1" fillId="0" borderId="1" xfId="0" applyNumberFormat="1" applyFont="1" applyFill="1" applyBorder="1" applyAlignment="1">
      <alignment vertical="center"/>
    </xf>
    <xf numFmtId="10" fontId="0" fillId="0" borderId="0" xfId="0" applyNumberFormat="1" applyFill="1" applyAlignment="1">
      <alignment vertical="center"/>
    </xf>
    <xf numFmtId="0" fontId="0" fillId="0" borderId="0" xfId="0" pivotButton="1"/>
    <xf numFmtId="0" fontId="0" fillId="0" borderId="0" xfId="0" applyAlignment="1">
      <alignment horizontal="left"/>
    </xf>
    <xf numFmtId="0" fontId="1" fillId="39" borderId="36" xfId="0" applyFont="1" applyFill="1" applyBorder="1"/>
    <xf numFmtId="0" fontId="1" fillId="39" borderId="37" xfId="0" applyFont="1" applyFill="1" applyBorder="1"/>
    <xf numFmtId="0" fontId="0" fillId="40" borderId="38" xfId="0" applyFont="1" applyFill="1" applyBorder="1"/>
    <xf numFmtId="0" fontId="1" fillId="39" borderId="40" xfId="0" applyFont="1" applyFill="1" applyBorder="1"/>
    <xf numFmtId="0" fontId="0" fillId="40" borderId="39" xfId="0" applyFont="1" applyFill="1" applyBorder="1"/>
    <xf numFmtId="0" fontId="0" fillId="40" borderId="41" xfId="0" applyFont="1" applyFill="1" applyBorder="1"/>
    <xf numFmtId="14" fontId="0" fillId="0" borderId="0" xfId="0" applyNumberFormat="1" applyFill="1"/>
    <xf numFmtId="0" fontId="2" fillId="0" borderId="3" xfId="0" applyFont="1" applyFill="1" applyBorder="1" applyAlignment="1">
      <alignment horizontal="left" vertical="center"/>
    </xf>
    <xf numFmtId="0" fontId="0" fillId="0" borderId="0" xfId="0" applyFill="1" applyAlignment="1">
      <alignment horizontal="center" vertical="center"/>
    </xf>
    <xf numFmtId="22" fontId="0" fillId="0" borderId="0" xfId="0" applyNumberFormat="1" applyFill="1" applyAlignment="1">
      <alignment horizontal="left" vertical="center" indent="1"/>
    </xf>
    <xf numFmtId="22" fontId="0" fillId="0" borderId="0" xfId="0" applyNumberFormat="1" applyFill="1" applyAlignment="1">
      <alignment horizontal="center" vertical="center"/>
    </xf>
    <xf numFmtId="164" fontId="0" fillId="0" borderId="0" xfId="0" applyNumberFormat="1" applyFill="1" applyAlignment="1">
      <alignment horizontal="center" vertical="center"/>
    </xf>
    <xf numFmtId="22" fontId="2" fillId="0" borderId="3" xfId="0" applyNumberFormat="1" applyFont="1" applyFill="1" applyBorder="1" applyAlignment="1">
      <alignment horizontal="left" vertical="center"/>
    </xf>
    <xf numFmtId="0" fontId="2" fillId="0" borderId="3" xfId="0" applyNumberFormat="1" applyFont="1" applyFill="1" applyBorder="1" applyAlignment="1">
      <alignment horizontal="left" vertical="center"/>
    </xf>
    <xf numFmtId="0" fontId="0" fillId="0" borderId="0" xfId="0" applyNumberFormat="1" applyFill="1" applyAlignment="1">
      <alignment horizontal="center" vertical="center"/>
    </xf>
    <xf numFmtId="22" fontId="0" fillId="0" borderId="0" xfId="0" applyNumberFormat="1" applyFill="1" applyAlignment="1">
      <alignment horizontal="right" vertical="center"/>
    </xf>
    <xf numFmtId="0" fontId="0" fillId="0" borderId="0" xfId="0" applyFill="1" applyAlignment="1">
      <alignment horizontal="left" vertical="center"/>
    </xf>
    <xf numFmtId="0" fontId="10" fillId="0" borderId="0" xfId="0" applyFont="1" applyFill="1" applyAlignment="1">
      <alignment horizontal="left" vertical="center" indent="1"/>
    </xf>
    <xf numFmtId="166" fontId="2" fillId="0" borderId="3" xfId="0" applyNumberFormat="1" applyFont="1" applyFill="1" applyBorder="1" applyAlignment="1">
      <alignment horizontal="left" vertical="center"/>
    </xf>
    <xf numFmtId="0" fontId="0" fillId="0" borderId="0" xfId="0" applyFill="1" applyAlignment="1">
      <alignment horizontal="center"/>
    </xf>
    <xf numFmtId="165" fontId="0" fillId="0" borderId="0" xfId="0" applyNumberFormat="1" applyFill="1" applyAlignment="1">
      <alignment horizontal="center" vertical="center"/>
    </xf>
    <xf numFmtId="14" fontId="0" fillId="0" borderId="0" xfId="0" applyNumberFormat="1" applyFill="1" applyAlignment="1">
      <alignment vertical="center"/>
    </xf>
    <xf numFmtId="0" fontId="9" fillId="6" borderId="43" xfId="0" applyFont="1" applyFill="1" applyBorder="1" applyAlignment="1">
      <alignment vertical="center"/>
    </xf>
    <xf numFmtId="0" fontId="4" fillId="0" borderId="44" xfId="0" applyFont="1" applyBorder="1" applyAlignment="1">
      <alignment vertical="center"/>
    </xf>
    <xf numFmtId="0" fontId="4" fillId="0" borderId="45" xfId="0" applyFont="1" applyBorder="1" applyAlignment="1">
      <alignment vertical="center"/>
    </xf>
    <xf numFmtId="0" fontId="5" fillId="7" borderId="49" xfId="0" applyFont="1" applyFill="1" applyBorder="1" applyAlignment="1">
      <alignment vertical="center"/>
    </xf>
    <xf numFmtId="0" fontId="9" fillId="7" borderId="23" xfId="0" applyFont="1" applyFill="1" applyBorder="1" applyAlignment="1">
      <alignment horizontal="center" vertical="center"/>
    </xf>
    <xf numFmtId="0" fontId="9" fillId="7" borderId="24" xfId="0" applyFont="1" applyFill="1" applyBorder="1" applyAlignment="1">
      <alignment horizontal="center" vertical="center"/>
    </xf>
    <xf numFmtId="0" fontId="9" fillId="7" borderId="25" xfId="0" applyFont="1" applyFill="1" applyBorder="1" applyAlignment="1">
      <alignment horizontal="center" vertical="center"/>
    </xf>
    <xf numFmtId="0" fontId="4" fillId="0" borderId="49" xfId="0" applyFont="1" applyBorder="1" applyAlignment="1">
      <alignment horizontal="left" vertical="center"/>
    </xf>
    <xf numFmtId="0" fontId="4" fillId="0" borderId="42" xfId="0" applyFont="1" applyBorder="1" applyAlignment="1">
      <alignment horizontal="left" vertical="center"/>
    </xf>
    <xf numFmtId="0" fontId="4" fillId="0" borderId="50" xfId="0" applyFont="1" applyBorder="1" applyAlignment="1">
      <alignment horizontal="left" vertical="center"/>
    </xf>
    <xf numFmtId="0" fontId="4" fillId="0" borderId="49"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50" xfId="0" applyFont="1" applyBorder="1" applyAlignment="1">
      <alignment horizontal="center" vertical="center" wrapText="1"/>
    </xf>
    <xf numFmtId="0" fontId="9" fillId="7" borderId="46" xfId="0" applyFont="1" applyFill="1" applyBorder="1" applyAlignment="1">
      <alignment horizontal="center" vertical="center"/>
    </xf>
    <xf numFmtId="0" fontId="9" fillId="7" borderId="47" xfId="0" applyFont="1" applyFill="1" applyBorder="1" applyAlignment="1">
      <alignment horizontal="center" vertical="center"/>
    </xf>
    <xf numFmtId="0" fontId="9" fillId="7" borderId="48" xfId="0" applyFont="1" applyFill="1" applyBorder="1" applyAlignment="1">
      <alignment horizontal="center" vertical="center"/>
    </xf>
    <xf numFmtId="0" fontId="0" fillId="0" borderId="3" xfId="0" applyBorder="1" applyAlignment="1">
      <alignment horizontal="left" vertical="center"/>
    </xf>
    <xf numFmtId="0" fontId="9" fillId="0" borderId="0" xfId="0" applyFont="1" applyFill="1" applyBorder="1" applyAlignment="1">
      <alignment vertical="center"/>
    </xf>
  </cellXfs>
  <cellStyles count="53">
    <cellStyle name="20% - Accent1" xfId="18" builtinId="30" customBuiltin="1"/>
    <cellStyle name="20% - Accent2" xfId="21" builtinId="34" customBuiltin="1"/>
    <cellStyle name="20% - Accent3" xfId="24" builtinId="38" customBuiltin="1"/>
    <cellStyle name="20% - Accent4" xfId="27" builtinId="42" customBuiltin="1"/>
    <cellStyle name="20% - Accent5" xfId="30" builtinId="46" customBuiltin="1"/>
    <cellStyle name="20% - Accent6" xfId="33" builtinId="50" customBuiltin="1"/>
    <cellStyle name="40% - Accent1" xfId="19" builtinId="31" customBuiltin="1"/>
    <cellStyle name="40% - Accent2" xfId="22" builtinId="35" customBuiltin="1"/>
    <cellStyle name="40% - Accent3" xfId="25" builtinId="39" customBuiltin="1"/>
    <cellStyle name="40% - Accent4" xfId="28" builtinId="43" customBuiltin="1"/>
    <cellStyle name="40% - Accent5" xfId="31" builtinId="47" customBuiltin="1"/>
    <cellStyle name="40% - Accent6" xfId="34" builtinId="51" customBuiltin="1"/>
    <cellStyle name="60% - Accent1 2" xfId="46" xr:uid="{00000000-0005-0000-0000-000031000000}"/>
    <cellStyle name="60% - Accent2 2" xfId="47" xr:uid="{00000000-0005-0000-0000-000032000000}"/>
    <cellStyle name="60% - Accent3 2" xfId="48" xr:uid="{00000000-0005-0000-0000-000033000000}"/>
    <cellStyle name="60% - Accent4 2" xfId="49" xr:uid="{00000000-0005-0000-0000-000034000000}"/>
    <cellStyle name="60% - Accent5 2" xfId="50" xr:uid="{00000000-0005-0000-0000-000035000000}"/>
    <cellStyle name="60% - Accent6 2" xfId="51" xr:uid="{00000000-0005-0000-0000-000036000000}"/>
    <cellStyle name="Accent1" xfId="17" builtinId="29" customBuiltin="1"/>
    <cellStyle name="Accent2" xfId="20" builtinId="33" customBuiltin="1"/>
    <cellStyle name="Accent3" xfId="23" builtinId="37" customBuiltin="1"/>
    <cellStyle name="Accent4" xfId="26" builtinId="41" customBuiltin="1"/>
    <cellStyle name="Accent5" xfId="29" builtinId="45" customBuiltin="1"/>
    <cellStyle name="Accent6" xfId="32" builtinId="49" customBuiltin="1"/>
    <cellStyle name="Bad" xfId="7" builtinId="27" customBuiltin="1"/>
    <cellStyle name="Calculation" xfId="10" builtinId="22" customBuiltin="1"/>
    <cellStyle name="Check Cell" xfId="12"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8" builtinId="20" customBuiltin="1"/>
    <cellStyle name="Linked Cell" xfId="11" builtinId="24" customBuiltin="1"/>
    <cellStyle name="Neutral 2" xfId="45" xr:uid="{00000000-0005-0000-0000-000037000000}"/>
    <cellStyle name="Normal" xfId="0" builtinId="0"/>
    <cellStyle name="Normal 2" xfId="37" xr:uid="{00000000-0005-0000-0000-000026000000}"/>
    <cellStyle name="Normal 2 2" xfId="39" xr:uid="{00000000-0005-0000-0000-000027000000}"/>
    <cellStyle name="Normal 2 2 2" xfId="40" xr:uid="{00000000-0005-0000-0000-000028000000}"/>
    <cellStyle name="Normal 3" xfId="38" xr:uid="{00000000-0005-0000-0000-000029000000}"/>
    <cellStyle name="Normal 4" xfId="41" xr:uid="{00000000-0005-0000-0000-00002A000000}"/>
    <cellStyle name="Normal 5" xfId="36" xr:uid="{00000000-0005-0000-0000-00002B000000}"/>
    <cellStyle name="Normal 5 2" xfId="42" xr:uid="{00000000-0005-0000-0000-00002C000000}"/>
    <cellStyle name="Normal 5 2 2" xfId="43" xr:uid="{00000000-0005-0000-0000-00002D000000}"/>
    <cellStyle name="Normal 5 2 3" xfId="44" xr:uid="{00000000-0005-0000-0000-00002E000000}"/>
    <cellStyle name="Normal 55 3 3 2 10 4" xfId="35" xr:uid="{00000000-0005-0000-0000-00002F000000}"/>
    <cellStyle name="Note" xfId="14" builtinId="10" customBuiltin="1"/>
    <cellStyle name="Output" xfId="9" builtinId="21" customBuiltin="1"/>
    <cellStyle name="Title" xfId="1" builtinId="15" customBuiltin="1"/>
    <cellStyle name="Title 2" xfId="52" xr:uid="{00000000-0005-0000-0000-000033000000}"/>
    <cellStyle name="Total" xfId="16" builtinId="25" customBuiltin="1"/>
    <cellStyle name="Warning Text" xfId="13" builtinId="11" customBuiltin="1"/>
  </cellStyles>
  <dxfs count="130">
    <dxf>
      <numFmt numFmtId="14" formatCode="0.00%"/>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numFmt numFmtId="165" formatCode="dd\-mmm\-yy"/>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numFmt numFmtId="165" formatCode="dd\-mmm\-yy"/>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numFmt numFmtId="165" formatCode="dd\-mmm\-yy"/>
      <fill>
        <patternFill patternType="none">
          <fgColor indexed="64"/>
          <bgColor indexed="65"/>
        </patternFill>
      </fill>
      <alignment horizontal="general" vertical="center" textRotation="0" wrapText="0" indent="0" justifyLastLine="0" shrinkToFit="0" readingOrder="0"/>
    </dxf>
    <dxf>
      <numFmt numFmtId="165" formatCode="dd\-mmm\-yy"/>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dxf>
    <dxf>
      <fill>
        <patternFill>
          <bgColor rgb="FFFF0000"/>
        </patternFill>
      </fill>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59999389629810485"/>
          <bgColor theme="4" tint="0.59999389629810485"/>
        </patternFill>
      </fill>
      <border diagonalUp="0" diagonalDown="0">
        <left style="thin">
          <color theme="0"/>
        </left>
        <right/>
        <top style="thin">
          <color theme="0"/>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59999389629810485"/>
          <bgColor theme="4" tint="0.59999389629810485"/>
        </patternFill>
      </fill>
      <border diagonalUp="0" diagonalDown="0">
        <left style="thin">
          <color theme="0"/>
        </left>
        <right style="thin">
          <color theme="0"/>
        </right>
        <top style="thin">
          <color theme="0"/>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59999389629810485"/>
          <bgColor theme="4" tint="0.59999389629810485"/>
        </patternFill>
      </fill>
      <border diagonalUp="0" diagonalDown="0">
        <left style="thin">
          <color theme="0"/>
        </left>
        <right style="thin">
          <color theme="0"/>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right style="thin">
          <color theme="0"/>
        </right>
        <top style="thin">
          <color theme="0"/>
        </top>
        <bottom/>
        <vertical/>
        <horizontal/>
      </border>
    </dxf>
    <dxf>
      <border outline="0">
        <top style="thin">
          <color theme="0"/>
        </top>
      </border>
    </dxf>
    <dxf>
      <border outline="0">
        <bottom style="thin">
          <color theme="0"/>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0"/>
        </left>
        <right style="thin">
          <color theme="0"/>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numFmt numFmtId="167" formatCode="dd/m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numFmt numFmtId="167" formatCode="dd/mmm/yyyy"/>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7" formatCode="dd/mmm/yyyy"/>
      <alignment horizontal="center" vertical="center" textRotation="0" wrapText="0" indent="0" justifyLastLine="0" shrinkToFit="0" readingOrder="0"/>
    </dxf>
    <dxf>
      <numFmt numFmtId="167" formatCode="dd/mmm/yyyy"/>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dd/mmm/yyyy"/>
      <alignment horizontal="center" vertical="center" textRotation="0" wrapText="0" indent="0" justifyLastLine="0" shrinkToFit="0" readingOrder="0"/>
    </dxf>
    <dxf>
      <numFmt numFmtId="167" formatCode="dd/mmm/yyyy"/>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numFmt numFmtId="0" formatCode="General"/>
      <alignment horizontal="general" vertical="center" textRotation="0" wrapText="0" indent="0" justifyLastLine="0" shrinkToFit="0" readingOrder="0"/>
    </dxf>
    <dxf>
      <font>
        <strike val="0"/>
        <outline val="0"/>
        <shadow val="0"/>
        <u val="none"/>
        <vertAlign val="baseline"/>
        <sz val="10"/>
        <name val="Intel Clear"/>
        <family val="2"/>
        <scheme val="none"/>
      </font>
      <alignment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font>
        <strike val="0"/>
        <outline val="0"/>
        <shadow val="0"/>
        <u val="none"/>
        <vertAlign val="baseline"/>
        <sz val="10"/>
        <name val="Intel Clear"/>
        <family val="2"/>
        <scheme val="none"/>
      </font>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Intel Clear"/>
        <family val="2"/>
        <scheme val="none"/>
      </font>
      <alignment vertical="center" textRotation="0" wrapText="0" indent="0" justifyLastLine="0" shrinkToFit="0" readingOrder="0"/>
    </dxf>
    <dxf>
      <font>
        <b/>
        <i val="0"/>
        <strike val="0"/>
        <condense val="0"/>
        <extend val="0"/>
        <outline val="0"/>
        <shadow val="0"/>
        <u val="none"/>
        <vertAlign val="baseline"/>
        <sz val="10"/>
        <color theme="0"/>
        <name val="Intel Clear"/>
        <family val="2"/>
        <scheme val="none"/>
      </font>
      <fill>
        <patternFill patternType="none">
          <fgColor indexed="64"/>
          <bgColor auto="1"/>
        </patternFill>
      </fill>
      <alignment vertical="center" textRotation="0" wrapText="0" indent="0" justifyLastLine="0" shrinkToFit="0" readingOrder="0"/>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152400</xdr:colOff>
      <xdr:row>0</xdr:row>
      <xdr:rowOff>38100</xdr:rowOff>
    </xdr:from>
    <xdr:to>
      <xdr:col>5</xdr:col>
      <xdr:colOff>704850</xdr:colOff>
      <xdr:row>1</xdr:row>
      <xdr:rowOff>38100</xdr:rowOff>
    </xdr:to>
    <xdr:sp macro="[0]!CreateJiraIssues"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276725" y="38100"/>
          <a:ext cx="1828800" cy="2000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Create Issues from Table</a:t>
          </a:r>
        </a:p>
      </xdr:txBody>
    </xdr:sp>
    <xdr:clientData/>
  </xdr:twoCellAnchor>
  <xdr:twoCellAnchor>
    <xdr:from>
      <xdr:col>3</xdr:col>
      <xdr:colOff>152400</xdr:colOff>
      <xdr:row>1</xdr:row>
      <xdr:rowOff>66675</xdr:rowOff>
    </xdr:from>
    <xdr:to>
      <xdr:col>5</xdr:col>
      <xdr:colOff>704850</xdr:colOff>
      <xdr:row>2</xdr:row>
      <xdr:rowOff>66675</xdr:rowOff>
    </xdr:to>
    <xdr:sp macro="[0]!PopulateTemplateToTable"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276725" y="266700"/>
          <a:ext cx="1828800" cy="20002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Get Template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1140</xdr:colOff>
      <xdr:row>0</xdr:row>
      <xdr:rowOff>4763</xdr:rowOff>
    </xdr:from>
    <xdr:to>
      <xdr:col>2</xdr:col>
      <xdr:colOff>714372</xdr:colOff>
      <xdr:row>4</xdr:row>
      <xdr:rowOff>187643</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1429890" y="4763"/>
          <a:ext cx="713232" cy="944880"/>
          <a:chOff x="1439609" y="4763"/>
          <a:chExt cx="713232" cy="960431"/>
        </a:xfrm>
      </xdr:grpSpPr>
      <xdr:sp macro="[0]!GetIssuesByFilter" textlink="">
        <xdr:nvSpPr>
          <xdr:cNvPr id="3" name="Rectangle 2">
            <a:extLst>
              <a:ext uri="{FF2B5EF4-FFF2-40B4-BE49-F238E27FC236}">
                <a16:creationId xmlns:a16="http://schemas.microsoft.com/office/drawing/2014/main" id="{00000000-0008-0000-0200-000003000000}"/>
              </a:ext>
            </a:extLst>
          </xdr:cNvPr>
          <xdr:cNvSpPr/>
        </xdr:nvSpPr>
        <xdr:spPr>
          <a:xfrm>
            <a:off x="1439609" y="199151"/>
            <a:ext cx="713232" cy="18288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Issues</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GetIssuesByAssignee" textlink="">
        <xdr:nvSpPr>
          <xdr:cNvPr id="10" name="Rectangle 9">
            <a:extLst>
              <a:ext uri="{FF2B5EF4-FFF2-40B4-BE49-F238E27FC236}">
                <a16:creationId xmlns:a16="http://schemas.microsoft.com/office/drawing/2014/main" id="{00000000-0008-0000-0200-00000A000000}"/>
              </a:ext>
            </a:extLst>
          </xdr:cNvPr>
          <xdr:cNvSpPr/>
        </xdr:nvSpPr>
        <xdr:spPr>
          <a:xfrm>
            <a:off x="1439609" y="393539"/>
            <a:ext cx="713232" cy="18288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Issues</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GetIssueById" textlink="">
        <xdr:nvSpPr>
          <xdr:cNvPr id="11" name="Rectangle 10">
            <a:extLst>
              <a:ext uri="{FF2B5EF4-FFF2-40B4-BE49-F238E27FC236}">
                <a16:creationId xmlns:a16="http://schemas.microsoft.com/office/drawing/2014/main" id="{00000000-0008-0000-0200-00000B000000}"/>
              </a:ext>
            </a:extLst>
          </xdr:cNvPr>
          <xdr:cNvSpPr/>
        </xdr:nvSpPr>
        <xdr:spPr>
          <a:xfrm>
            <a:off x="1439609" y="587926"/>
            <a:ext cx="713232" cy="18288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Issue</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GetEpicIssues" textlink="">
        <xdr:nvSpPr>
          <xdr:cNvPr id="12" name="Rectangle 11">
            <a:extLst>
              <a:ext uri="{FF2B5EF4-FFF2-40B4-BE49-F238E27FC236}">
                <a16:creationId xmlns:a16="http://schemas.microsoft.com/office/drawing/2014/main" id="{00000000-0008-0000-0200-00000C000000}"/>
              </a:ext>
            </a:extLst>
          </xdr:cNvPr>
          <xdr:cNvSpPr/>
        </xdr:nvSpPr>
        <xdr:spPr>
          <a:xfrm>
            <a:off x="1439609" y="782314"/>
            <a:ext cx="713232" cy="18288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Issues</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GetIssueByText" textlink="">
        <xdr:nvSpPr>
          <xdr:cNvPr id="13" name="Rectangle 12">
            <a:extLst>
              <a:ext uri="{FF2B5EF4-FFF2-40B4-BE49-F238E27FC236}">
                <a16:creationId xmlns:a16="http://schemas.microsoft.com/office/drawing/2014/main" id="{00000000-0008-0000-0200-00000D000000}"/>
              </a:ext>
            </a:extLst>
          </xdr:cNvPr>
          <xdr:cNvSpPr/>
        </xdr:nvSpPr>
        <xdr:spPr>
          <a:xfrm>
            <a:off x="1439609" y="4763"/>
            <a:ext cx="713232" cy="18288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Issues</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grpSp>
    <xdr:clientData/>
  </xdr:twoCellAnchor>
  <xdr:twoCellAnchor>
    <xdr:from>
      <xdr:col>3</xdr:col>
      <xdr:colOff>63533</xdr:colOff>
      <xdr:row>2</xdr:row>
      <xdr:rowOff>86111</xdr:rowOff>
    </xdr:from>
    <xdr:to>
      <xdr:col>4</xdr:col>
      <xdr:colOff>642230</xdr:colOff>
      <xdr:row>4</xdr:row>
      <xdr:rowOff>180577</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2206658" y="467111"/>
          <a:ext cx="4626822" cy="475466"/>
          <a:chOff x="2221237" y="474746"/>
          <a:chExt cx="4631682" cy="483383"/>
        </a:xfrm>
      </xdr:grpSpPr>
      <xdr:sp macro="[0]!GetComment" textlink="">
        <xdr:nvSpPr>
          <xdr:cNvPr id="6" name="Rectangle 5">
            <a:extLst>
              <a:ext uri="{FF2B5EF4-FFF2-40B4-BE49-F238E27FC236}">
                <a16:creationId xmlns:a16="http://schemas.microsoft.com/office/drawing/2014/main" id="{00000000-0008-0000-0200-000006000000}"/>
              </a:ext>
            </a:extLst>
          </xdr:cNvPr>
          <xdr:cNvSpPr/>
        </xdr:nvSpPr>
        <xdr:spPr>
          <a:xfrm>
            <a:off x="2221237" y="483528"/>
            <a:ext cx="914400" cy="232398"/>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a:t>
            </a:r>
            <a:r>
              <a:rPr lang="en-US" sz="900" baseline="0">
                <a:latin typeface="Intel Clear" panose="020B0604020203020204" pitchFamily="34" charset="0"/>
                <a:ea typeface="Intel Clear" panose="020B0604020203020204" pitchFamily="34" charset="0"/>
                <a:cs typeface="Intel Clear" panose="020B0604020203020204" pitchFamily="34" charset="0"/>
              </a:rPr>
              <a:t> Comment</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UpdateModifiedIssues" textlink="">
        <xdr:nvSpPr>
          <xdr:cNvPr id="8" name="Rectangle 7">
            <a:extLst>
              <a:ext uri="{FF2B5EF4-FFF2-40B4-BE49-F238E27FC236}">
                <a16:creationId xmlns:a16="http://schemas.microsoft.com/office/drawing/2014/main" id="{00000000-0008-0000-0200-000008000000}"/>
              </a:ext>
            </a:extLst>
          </xdr:cNvPr>
          <xdr:cNvSpPr/>
        </xdr:nvSpPr>
        <xdr:spPr>
          <a:xfrm>
            <a:off x="5024119" y="487004"/>
            <a:ext cx="1828800" cy="46480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1000">
                <a:latin typeface="Intel Clear" panose="020B0604020203020204" pitchFamily="34" charset="0"/>
                <a:ea typeface="Intel Clear" panose="020B0604020203020204" pitchFamily="34" charset="0"/>
                <a:cs typeface="Intel Clear" panose="020B0604020203020204" pitchFamily="34" charset="0"/>
              </a:rPr>
              <a:t>Update To</a:t>
            </a:r>
            <a:r>
              <a:rPr lang="en-US" sz="1000" baseline="0">
                <a:latin typeface="Intel Clear" panose="020B0604020203020204" pitchFamily="34" charset="0"/>
                <a:ea typeface="Intel Clear" panose="020B0604020203020204" pitchFamily="34" charset="0"/>
                <a:cs typeface="Intel Clear" panose="020B0604020203020204" pitchFamily="34" charset="0"/>
              </a:rPr>
              <a:t> JIRA</a:t>
            </a:r>
            <a:endParaRPr lang="en-US" sz="1000">
              <a:latin typeface="Intel Clear" panose="020B0604020203020204" pitchFamily="34" charset="0"/>
              <a:ea typeface="Intel Clear" panose="020B0604020203020204" pitchFamily="34" charset="0"/>
              <a:cs typeface="Intel Clear" panose="020B0604020203020204" pitchFamily="34" charset="0"/>
            </a:endParaRPr>
          </a:p>
        </xdr:txBody>
      </xdr:sp>
      <xdr:sp macro="[0]!GetWorklog" textlink="">
        <xdr:nvSpPr>
          <xdr:cNvPr id="9" name="Rectangle 8">
            <a:extLst>
              <a:ext uri="{FF2B5EF4-FFF2-40B4-BE49-F238E27FC236}">
                <a16:creationId xmlns:a16="http://schemas.microsoft.com/office/drawing/2014/main" id="{00000000-0008-0000-0200-000009000000}"/>
              </a:ext>
            </a:extLst>
          </xdr:cNvPr>
          <xdr:cNvSpPr/>
        </xdr:nvSpPr>
        <xdr:spPr>
          <a:xfrm>
            <a:off x="4092411" y="483399"/>
            <a:ext cx="914400" cy="232916"/>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 Worklog</a:t>
            </a:r>
          </a:p>
        </xdr:txBody>
      </xdr:sp>
      <xdr:sp macro="[0]!GetDescription" textlink="">
        <xdr:nvSpPr>
          <xdr:cNvPr id="14" name="Rectangle 13">
            <a:extLst>
              <a:ext uri="{FF2B5EF4-FFF2-40B4-BE49-F238E27FC236}">
                <a16:creationId xmlns:a16="http://schemas.microsoft.com/office/drawing/2014/main" id="{00000000-0008-0000-0200-00000E000000}"/>
              </a:ext>
            </a:extLst>
          </xdr:cNvPr>
          <xdr:cNvSpPr/>
        </xdr:nvSpPr>
        <xdr:spPr>
          <a:xfrm>
            <a:off x="3154298" y="474746"/>
            <a:ext cx="914400" cy="232398"/>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 Description</a:t>
            </a:r>
          </a:p>
        </xdr:txBody>
      </xdr:sp>
      <xdr:sp macro="[0]!EnableTracking" textlink="">
        <xdr:nvSpPr>
          <xdr:cNvPr id="15" name="Rectangle 14">
            <a:extLst>
              <a:ext uri="{FF2B5EF4-FFF2-40B4-BE49-F238E27FC236}">
                <a16:creationId xmlns:a16="http://schemas.microsoft.com/office/drawing/2014/main" id="{00000000-0008-0000-0200-00000F000000}"/>
              </a:ext>
            </a:extLst>
          </xdr:cNvPr>
          <xdr:cNvSpPr/>
        </xdr:nvSpPr>
        <xdr:spPr>
          <a:xfrm>
            <a:off x="4091678" y="735199"/>
            <a:ext cx="914400" cy="219456"/>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Resume</a:t>
            </a:r>
            <a:r>
              <a:rPr lang="en-US" sz="900" baseline="0">
                <a:latin typeface="Intel Clear" panose="020B0604020203020204" pitchFamily="34" charset="0"/>
                <a:ea typeface="Intel Clear" panose="020B0604020203020204" pitchFamily="34" charset="0"/>
                <a:cs typeface="Intel Clear" panose="020B0604020203020204" pitchFamily="34" charset="0"/>
              </a:rPr>
              <a:t> Tracking</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sp macro="[0]!GetAcceptanceCriteria" textlink="">
        <xdr:nvSpPr>
          <xdr:cNvPr id="17" name="Rectangle 16">
            <a:extLst>
              <a:ext uri="{FF2B5EF4-FFF2-40B4-BE49-F238E27FC236}">
                <a16:creationId xmlns:a16="http://schemas.microsoft.com/office/drawing/2014/main" id="{00000000-0008-0000-0200-000011000000}"/>
              </a:ext>
            </a:extLst>
          </xdr:cNvPr>
          <xdr:cNvSpPr/>
        </xdr:nvSpPr>
        <xdr:spPr>
          <a:xfrm>
            <a:off x="2235458" y="738673"/>
            <a:ext cx="1828800" cy="219456"/>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scene3d>
            <a:camera prst="orthographicFront">
              <a:rot lat="0" lon="0" rev="0"/>
            </a:camera>
            <a:lightRig rig="balanced" dir="t">
              <a:rot lat="0" lon="0" rev="8700000"/>
            </a:lightRig>
          </a:scene3d>
        </xdr:spPr>
        <xdr:style>
          <a:lnRef idx="0">
            <a:scrgbClr r="0" g="0" b="0"/>
          </a:lnRef>
          <a:fillRef idx="0">
            <a:scrgbClr r="0" g="0" b="0"/>
          </a:fillRef>
          <a:effectRef idx="0">
            <a:scrgbClr r="0" g="0" b="0"/>
          </a:effectRef>
          <a:fontRef idx="minor">
            <a:schemeClr val="lt1"/>
          </a:fontRef>
        </xdr:style>
        <xdr:txBody>
          <a:bodyPr vertOverflow="clip" horzOverflow="clip" lIns="0" tIns="0" rIns="0" bIns="0" rtlCol="0" anchor="ctr" anchorCtr="0"/>
          <a:lstStyle/>
          <a:p>
            <a:pPr algn="ctr"/>
            <a:r>
              <a:rPr lang="en-US" sz="900">
                <a:latin typeface="Intel Clear" panose="020B0604020203020204" pitchFamily="34" charset="0"/>
                <a:ea typeface="Intel Clear" panose="020B0604020203020204" pitchFamily="34" charset="0"/>
                <a:cs typeface="Intel Clear" panose="020B0604020203020204" pitchFamily="34" charset="0"/>
              </a:rPr>
              <a:t>Get Acceptance</a:t>
            </a:r>
            <a:r>
              <a:rPr lang="en-US" sz="900" baseline="0">
                <a:latin typeface="Intel Clear" panose="020B0604020203020204" pitchFamily="34" charset="0"/>
                <a:ea typeface="Intel Clear" panose="020B0604020203020204" pitchFamily="34" charset="0"/>
                <a:cs typeface="Intel Clear" panose="020B0604020203020204" pitchFamily="34" charset="0"/>
              </a:rPr>
              <a:t> Criteria</a:t>
            </a:r>
            <a:endParaRPr lang="en-US" sz="900">
              <a:latin typeface="Intel Clear" panose="020B0604020203020204" pitchFamily="34" charset="0"/>
              <a:ea typeface="Intel Clear" panose="020B0604020203020204" pitchFamily="34" charset="0"/>
              <a:cs typeface="Intel Clear" panose="020B0604020203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3</xdr:col>
          <xdr:colOff>9525</xdr:colOff>
          <xdr:row>0</xdr:row>
          <xdr:rowOff>180975</xdr:rowOff>
        </xdr:from>
        <xdr:to>
          <xdr:col>4</xdr:col>
          <xdr:colOff>38100</xdr:colOff>
          <xdr:row>2</xdr:row>
          <xdr:rowOff>28575</xdr:rowOff>
        </xdr:to>
        <xdr:sp macro="" textlink="">
          <xdr:nvSpPr>
            <xdr:cNvPr id="1060" name="IdsidSearch" hidden="1">
              <a:extLst>
                <a:ext uri="{63B3BB69-23CF-44E3-9099-C40C66FF867C}">
                  <a14:compatExt spid="_x0000_s1060"/>
                </a:ext>
                <a:ext uri="{FF2B5EF4-FFF2-40B4-BE49-F238E27FC236}">
                  <a16:creationId xmlns:a16="http://schemas.microsoft.com/office/drawing/2014/main" id="{00000000-0008-0000-02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180975</xdr:colOff>
      <xdr:row>0</xdr:row>
      <xdr:rowOff>28575</xdr:rowOff>
    </xdr:from>
    <xdr:to>
      <xdr:col>12</xdr:col>
      <xdr:colOff>257175</xdr:colOff>
      <xdr:row>13</xdr:row>
      <xdr:rowOff>76200</xdr:rowOff>
    </xdr:to>
    <mc:AlternateContent xmlns:mc="http://schemas.openxmlformats.org/markup-compatibility/2006" xmlns:a14="http://schemas.microsoft.com/office/drawing/2010/main">
      <mc:Choice Requires="a14">
        <xdr:graphicFrame macro="">
          <xdr:nvGraphicFramePr>
            <xdr:cNvPr id="2" name="Fix version(s)">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Fix version(s)"/>
            </a:graphicData>
          </a:graphic>
        </xdr:graphicFrame>
      </mc:Choice>
      <mc:Fallback xmlns="">
        <xdr:sp macro="" textlink="">
          <xdr:nvSpPr>
            <xdr:cNvPr id="0" name=""/>
            <xdr:cNvSpPr>
              <a:spLocks noTextEdit="1"/>
            </xdr:cNvSpPr>
          </xdr:nvSpPr>
          <xdr:spPr>
            <a:xfrm>
              <a:off x="9544050" y="28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285750</xdr:colOff>
      <xdr:row>0</xdr:row>
      <xdr:rowOff>28575</xdr:rowOff>
    </xdr:from>
    <xdr:to>
      <xdr:col>14</xdr:col>
      <xdr:colOff>352425</xdr:colOff>
      <xdr:row>13</xdr:row>
      <xdr:rowOff>76200</xdr:rowOff>
    </xdr:to>
    <mc:AlternateContent xmlns:mc="http://schemas.openxmlformats.org/markup-compatibility/2006" xmlns:a14="http://schemas.microsoft.com/office/drawing/2010/main">
      <mc:Choice Requires="a14">
        <xdr:graphicFrame macro="">
          <xdr:nvGraphicFramePr>
            <xdr:cNvPr id="3" name="Trend">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11401425" y="28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46</xdr:col>
      <xdr:colOff>30956</xdr:colOff>
      <xdr:row>0</xdr:row>
      <xdr:rowOff>0</xdr:rowOff>
    </xdr:from>
    <xdr:to>
      <xdr:col>48</xdr:col>
      <xdr:colOff>180975</xdr:colOff>
      <xdr:row>1</xdr:row>
      <xdr:rowOff>38100</xdr:rowOff>
    </xdr:to>
    <xdr:sp macro="[0]!RefreshIds" textlink="">
      <xdr:nvSpPr>
        <xdr:cNvPr id="2" name="Rectangle 1">
          <a:extLst>
            <a:ext uri="{FF2B5EF4-FFF2-40B4-BE49-F238E27FC236}">
              <a16:creationId xmlns:a16="http://schemas.microsoft.com/office/drawing/2014/main" id="{00000000-0008-0000-0700-000002000000}"/>
            </a:ext>
          </a:extLst>
        </xdr:cNvPr>
        <xdr:cNvSpPr/>
      </xdr:nvSpPr>
      <xdr:spPr>
        <a:xfrm>
          <a:off x="20045362" y="0"/>
          <a:ext cx="1364457" cy="22860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Intel Clear" panose="020B0604020203020204" pitchFamily="34" charset="0"/>
              <a:ea typeface="Intel Clear" panose="020B0604020203020204" pitchFamily="34" charset="0"/>
              <a:cs typeface="Intel Clear" panose="020B0604020203020204" pitchFamily="34" charset="0"/>
            </a:rPr>
            <a:t>Refresh Sheet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vekanand" refreshedDate="43494.712268402778" createdVersion="6" refreshedVersion="6" minRefreshableVersion="3" recordCount="1" xr:uid="{11218669-DE1F-4975-9652-7FFD594FF9F7}">
  <cacheSource type="worksheet">
    <worksheetSource name="JiraQueryUpdateTable"/>
  </cacheSource>
  <cacheFields count="24">
    <cacheField name="ID" numFmtId="0">
      <sharedItems containsNonDate="0" containsString="0" containsBlank="1"/>
    </cacheField>
    <cacheField name="Issue Type" numFmtId="0">
      <sharedItems containsNonDate="0" containsBlank="1" count="9">
        <m/>
        <s v="Improvement" u="1"/>
        <s v="Bug" u="1"/>
        <s v="Story" u="1"/>
        <s v="Epic" u="1"/>
        <s v="Task" u="1"/>
        <s v="Feature" u="1"/>
        <s v="Sub-task" u="1"/>
        <s v="Technical Task" u="1"/>
      </sharedItems>
    </cacheField>
    <cacheField name="Status" numFmtId="0">
      <sharedItems containsNonDate="0" containsBlank="1" count="18">
        <m/>
        <s v="Ready" u="1"/>
        <s v="In Progress" u="1"/>
        <s v="POR_M1" u="1"/>
        <s v="Future" u="1"/>
        <s v="Deferred" u="1"/>
        <s v="Closed" u="1"/>
        <s v="In Testing" u="1"/>
        <s v="POR" u="1"/>
        <s v="Blocked" u="1"/>
        <s v="In Analysis" u="1"/>
        <s v="Open" u="1"/>
        <s v="New" u="1"/>
        <s v="Implemented" u="1"/>
        <s v="Resolved" u="1"/>
        <s v="Rejected" u="1"/>
        <s v="Strawman" u="1"/>
        <s v="In Review" u="1"/>
      </sharedItems>
    </cacheField>
    <cacheField name="Summary" numFmtId="0">
      <sharedItems containsNonDate="0" containsString="0" containsBlank="1"/>
    </cacheField>
    <cacheField name="Assignee" numFmtId="0">
      <sharedItems containsNonDate="0" containsString="0" containsBlank="1"/>
    </cacheField>
    <cacheField name="Epic Link" numFmtId="0">
      <sharedItems containsNonDate="0" containsString="0" containsBlank="1"/>
    </cacheField>
    <cacheField name="Blocked By" numFmtId="0">
      <sharedItems containsNonDate="0" containsString="0" containsBlank="1"/>
    </cacheField>
    <cacheField name="Blocks" numFmtId="0">
      <sharedItems containsNonDate="0" containsString="0" containsBlank="1"/>
    </cacheField>
    <cacheField name="Fix version(s)" numFmtId="0">
      <sharedItems containsNonDate="0" containsDate="1" containsBlank="1" containsMixedTypes="1" minDate="2018-02-20T00:00:00" maxDate="2018-02-21T00:00:00" count="50">
        <m/>
        <s v="FI0.25" u="1"/>
        <s v="LKF_R_IPVal0.25" u="1"/>
        <s v="LKF_R_IPVal0.85" u="1"/>
        <s v="ICL_PV, LKF_Beta" u="1"/>
        <s v="LKF_PV" u="1"/>
        <s v="LKF_FI0.9" u="1"/>
        <s v="TGL_FI1.1" u="1"/>
        <s v="VPG Gen12LP_FI0.75" u="1"/>
        <s v="LKF_Alpha" u="1"/>
        <s v="ICL_Beta" u="1"/>
        <s v="LKF_R_IPVal0.9" u="1"/>
        <s v="TGL_PreAlpha" u="1"/>
        <s v="TGL_PO" u="1"/>
        <s v="JSL_FI0.25" u="1"/>
        <s v="LKF_R_IPVal1.0" u="1"/>
        <s v="LKF_Alpha, TGL_PO" u="1"/>
        <s v="LKF_Beta, TGL_Alpha" u="1"/>
        <s v="19H2_Alpha" u="1"/>
        <s v="VPG Gen12LP_FI0.25" u="1"/>
        <s v="VPG Gen12LP_FI0.5" u="1"/>
        <s v="TGL_ FI0.75" u="1"/>
        <s v="VPG Gen12LP_FI0.9" u="1"/>
        <s v="TGL_FI1.0" u="1"/>
        <s v="VPG Gen12LP_Linux_FI0.5" u="1"/>
        <s v="LKF_R_IPVal1.1" u="1"/>
        <s v="LKF_Beta" u="1"/>
        <s v="OSA_Alpha" u="1"/>
        <s v="LKF_Centaurus_PO" u="1"/>
        <s v="TGL_PV" u="1"/>
        <s v="Display Val Continuous Improvement" u="1"/>
        <s v="TGL_FI0.9" u="1"/>
        <s v="Yangra - Basic Infrastructure readiness" u="1"/>
        <d v="2018-02-20T00:00:00" u="1"/>
        <s v="ICL_PR" u="1"/>
        <s v="TGL_FI0.9, TGL_FI1.0" u="1"/>
        <s v="TGL_Alpha" u="1"/>
        <s v="LKF_R_IPVal0.0" u="1"/>
        <s v="Release ww04'16" u="1"/>
        <s v="LKF_PO" u="1"/>
        <s v="TGL_Alpha, LKF_Beta" u="1"/>
        <s v="TGL_ FI0.75, TGL_FI0.9" u="1"/>
        <s v="TGL_FI0.5" u="1"/>
        <s v="ICL_PV" u="1"/>
        <s v="LKF_Yangra_Base_Chk" u="1"/>
        <s v="2018ww22 AML PV/15.RS4 PR2" u="1"/>
        <s v="LKF_PR" u="1"/>
        <s v="TGL_PO, LKF_Alpha" u="1"/>
        <s v="TGL_Beta" u="1"/>
        <s v="LKF_FI1.0" u="1"/>
      </sharedItems>
    </cacheField>
    <cacheField name="Priority" numFmtId="0">
      <sharedItems containsNonDate="0" containsBlank="1" count="6">
        <m/>
        <s v="P1-Stopper" u="1"/>
        <s v="P4-Low" u="1"/>
        <s v="Undecided" u="1"/>
        <s v="P3-Medium" u="1"/>
        <s v="P2-High" u="1"/>
      </sharedItems>
    </cacheField>
    <cacheField name="Custom Field 2" numFmtId="0">
      <sharedItems containsNonDate="0" containsString="0" containsBlank="1"/>
    </cacheField>
    <cacheField name="Due Date" numFmtId="165">
      <sharedItems containsNonDate="0" containsString="0" containsBlank="1"/>
    </cacheField>
    <cacheField name="Start Date" numFmtId="165">
      <sharedItems containsNonDate="0" containsString="0" containsBlank="1"/>
    </cacheField>
    <cacheField name="End Date" numFmtId="165">
      <sharedItems containsNonDate="0" containsString="0" containsBlank="1"/>
    </cacheField>
    <cacheField name="Custom Field 1" numFmtId="0">
      <sharedItems containsNonDate="0" containsString="0" containsBlank="1"/>
    </cacheField>
    <cacheField name="Component(s)" numFmtId="0">
      <sharedItems containsNonDate="0" containsString="0" containsBlank="1"/>
    </cacheField>
    <cacheField name="Original Estimate" numFmtId="0">
      <sharedItems containsNonDate="0" containsString="0" containsBlank="1"/>
    </cacheField>
    <cacheField name="Remaining Estimate" numFmtId="0">
      <sharedItems containsNonDate="0" containsString="0" containsBlank="1"/>
    </cacheField>
    <cacheField name="Time Spent" numFmtId="0">
      <sharedItems containsNonDate="0" containsString="0" containsBlank="1"/>
    </cacheField>
    <cacheField name="Add Comment" numFmtId="0">
      <sharedItems containsNonDate="0" containsString="0" containsBlank="1"/>
    </cacheField>
    <cacheField name="Bandwidth Planned" numFmtId="10">
      <sharedItems containsNonDate="0" containsString="0" containsBlank="1"/>
    </cacheField>
    <cacheField name="Trend" numFmtId="0">
      <sharedItems containsNonDate="0" containsBlank="1" count="7">
        <m/>
        <s v="Ahead of Commit" u="1"/>
        <s v="No Effort Pending" u="1"/>
        <s v="Non-open Entry" u="1"/>
        <s v="On Track" u="1"/>
        <s v="Missing Commit" u="1"/>
        <s v="Unknown" u="1"/>
      </sharedItems>
    </cacheField>
    <cacheField name="Assessment" numFmtId="0">
      <sharedItems containsNonDate="0" containsBlank="1" count="3">
        <m/>
        <s v="Conservative Estimate" u="1"/>
        <s v="Right Estimate" u="1"/>
      </sharedItems>
    </cacheField>
    <cacheField name="Best Case End Date" numFmtId="165">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x v="0"/>
    <m/>
    <m/>
    <m/>
    <m/>
    <m/>
    <x v="0"/>
    <x v="0"/>
    <m/>
    <m/>
    <m/>
    <m/>
    <m/>
    <m/>
    <m/>
    <m/>
    <m/>
    <m/>
    <m/>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3B64B9-D2A5-4304-90EF-B02B915C071B}" name="PivotTable_TrendByPriority" cacheId="131"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Trend" colHeaderCaption="Priority">
  <location ref="A1:C4" firstHeaderRow="1" firstDataRow="2" firstDataCol="1"/>
  <pivotFields count="24">
    <pivotField dataField="1" showAll="0"/>
    <pivotField showAll="0"/>
    <pivotField showAll="0"/>
    <pivotField showAll="0"/>
    <pivotField showAll="0"/>
    <pivotField showAll="0"/>
    <pivotField showAll="0"/>
    <pivotField showAll="0"/>
    <pivotField showAll="0">
      <items count="51">
        <item m="1" x="18"/>
        <item m="1" x="45"/>
        <item m="1" x="30"/>
        <item m="1" x="1"/>
        <item m="1" x="10"/>
        <item m="1" x="34"/>
        <item m="1" x="43"/>
        <item m="1" x="4"/>
        <item m="1" x="14"/>
        <item m="1" x="9"/>
        <item m="1" x="16"/>
        <item m="1" x="26"/>
        <item m="1" x="17"/>
        <item m="1" x="28"/>
        <item m="1" x="6"/>
        <item m="1" x="49"/>
        <item m="1" x="39"/>
        <item m="1" x="46"/>
        <item m="1" x="5"/>
        <item m="1" x="37"/>
        <item m="1" x="2"/>
        <item m="1" x="3"/>
        <item m="1" x="11"/>
        <item m="1" x="15"/>
        <item m="1" x="25"/>
        <item m="1" x="44"/>
        <item m="1" x="27"/>
        <item m="1" x="38"/>
        <item m="1" x="21"/>
        <item m="1" x="41"/>
        <item m="1" x="36"/>
        <item m="1" x="40"/>
        <item m="1" x="48"/>
        <item m="1" x="42"/>
        <item m="1" x="31"/>
        <item m="1" x="35"/>
        <item m="1" x="23"/>
        <item m="1" x="7"/>
        <item m="1" x="13"/>
        <item m="1" x="47"/>
        <item m="1" x="12"/>
        <item m="1" x="29"/>
        <item m="1" x="19"/>
        <item m="1" x="20"/>
        <item m="1" x="8"/>
        <item m="1" x="22"/>
        <item m="1" x="24"/>
        <item m="1" x="32"/>
        <item m="1" x="33"/>
        <item x="0"/>
        <item t="default"/>
      </items>
    </pivotField>
    <pivotField axis="axisCol" showAll="0">
      <items count="7">
        <item m="1" x="1"/>
        <item m="1" x="5"/>
        <item m="1" x="4"/>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8">
        <item m="1" x="1"/>
        <item m="1" x="5"/>
        <item m="1" x="2"/>
        <item m="1" x="3"/>
        <item m="1" x="6"/>
        <item m="1" x="4"/>
        <item x="0"/>
        <item t="default"/>
      </items>
    </pivotField>
    <pivotField showAll="0"/>
    <pivotField showAll="0"/>
  </pivotFields>
  <rowFields count="1">
    <field x="21"/>
  </rowFields>
  <rowItems count="2">
    <i>
      <x v="6"/>
    </i>
    <i t="grand">
      <x/>
    </i>
  </rowItems>
  <colFields count="1">
    <field x="9"/>
  </colFields>
  <colItems count="2">
    <i>
      <x v="5"/>
    </i>
    <i t="grand">
      <x/>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8F784D-E04C-49E4-9E7B-D6933DCC643E}" name="PivotTable_StatusByIssueType" cacheId="131"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Status" colHeaderCaption="Issue Type">
  <location ref="A12:C15" firstHeaderRow="1" firstDataRow="2" firstDataCol="1"/>
  <pivotFields count="24">
    <pivotField dataField="1" showAll="0"/>
    <pivotField axis="axisCol" showAll="0">
      <items count="10">
        <item m="1" x="2"/>
        <item m="1" x="4"/>
        <item m="1" x="6"/>
        <item m="1" x="3"/>
        <item m="1" x="7"/>
        <item m="1" x="5"/>
        <item m="1" x="8"/>
        <item m="1" x="1"/>
        <item x="0"/>
        <item t="default"/>
      </items>
    </pivotField>
    <pivotField axis="axisRow" showAll="0">
      <items count="19">
        <item m="1" x="6"/>
        <item m="1" x="13"/>
        <item m="1" x="2"/>
        <item m="1" x="17"/>
        <item m="1" x="12"/>
        <item m="1" x="11"/>
        <item m="1" x="8"/>
        <item m="1" x="15"/>
        <item m="1" x="14"/>
        <item m="1" x="9"/>
        <item m="1" x="5"/>
        <item m="1" x="3"/>
        <item m="1" x="10"/>
        <item m="1" x="16"/>
        <item m="1" x="7"/>
        <item m="1" x="1"/>
        <item m="1" x="4"/>
        <item x="0"/>
        <item t="default"/>
      </items>
    </pivotField>
    <pivotField showAll="0"/>
    <pivotField showAll="0"/>
    <pivotField showAll="0"/>
    <pivotField showAll="0"/>
    <pivotField showAll="0"/>
    <pivotField showAll="0">
      <items count="51">
        <item m="1" x="18"/>
        <item m="1" x="45"/>
        <item m="1" x="30"/>
        <item m="1" x="1"/>
        <item m="1" x="10"/>
        <item m="1" x="34"/>
        <item m="1" x="43"/>
        <item m="1" x="4"/>
        <item m="1" x="14"/>
        <item m="1" x="9"/>
        <item m="1" x="16"/>
        <item m="1" x="26"/>
        <item m="1" x="17"/>
        <item m="1" x="28"/>
        <item m="1" x="6"/>
        <item m="1" x="49"/>
        <item m="1" x="39"/>
        <item m="1" x="46"/>
        <item m="1" x="5"/>
        <item m="1" x="37"/>
        <item m="1" x="2"/>
        <item m="1" x="3"/>
        <item m="1" x="11"/>
        <item m="1" x="15"/>
        <item m="1" x="25"/>
        <item m="1" x="44"/>
        <item m="1" x="27"/>
        <item m="1" x="38"/>
        <item m="1" x="21"/>
        <item m="1" x="41"/>
        <item m="1" x="36"/>
        <item m="1" x="40"/>
        <item m="1" x="48"/>
        <item m="1" x="42"/>
        <item m="1" x="31"/>
        <item m="1" x="35"/>
        <item m="1" x="23"/>
        <item m="1" x="7"/>
        <item m="1" x="13"/>
        <item m="1" x="47"/>
        <item m="1" x="12"/>
        <item m="1" x="29"/>
        <item m="1" x="19"/>
        <item m="1" x="20"/>
        <item m="1" x="8"/>
        <item m="1" x="22"/>
        <item m="1" x="24"/>
        <item m="1" x="32"/>
        <item m="1" x="3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m="1" x="1"/>
        <item m="1" x="5"/>
        <item m="1" x="2"/>
        <item m="1" x="3"/>
        <item m="1" x="4"/>
        <item m="1" x="6"/>
        <item x="0"/>
        <item t="default"/>
      </items>
    </pivotField>
    <pivotField showAll="0"/>
    <pivotField showAll="0"/>
  </pivotFields>
  <rowFields count="1">
    <field x="2"/>
  </rowFields>
  <rowItems count="2">
    <i>
      <x v="17"/>
    </i>
    <i t="grand">
      <x/>
    </i>
  </rowItems>
  <colFields count="1">
    <field x="1"/>
  </colFields>
  <colItems count="2">
    <i>
      <x v="8"/>
    </i>
    <i t="grand">
      <x/>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13D363-C10A-4E04-AA68-B0CC3F34EBF0}" name="PivotTable_EstimateAssessment" cacheId="131"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Estimate Assessment">
  <location ref="I1:J2" firstHeaderRow="1" firstDataRow="1" firstDataCol="1"/>
  <pivotFields count="24">
    <pivotField dataField="1" showAll="0"/>
    <pivotField showAll="0"/>
    <pivotField showAll="0"/>
    <pivotField showAll="0"/>
    <pivotField showAll="0"/>
    <pivotField showAll="0"/>
    <pivotField showAll="0"/>
    <pivotField showAll="0"/>
    <pivotField showAll="0">
      <items count="51">
        <item m="1" x="18"/>
        <item m="1" x="45"/>
        <item m="1" x="30"/>
        <item m="1" x="1"/>
        <item m="1" x="10"/>
        <item m="1" x="34"/>
        <item m="1" x="43"/>
        <item m="1" x="4"/>
        <item m="1" x="14"/>
        <item m="1" x="9"/>
        <item m="1" x="16"/>
        <item m="1" x="26"/>
        <item m="1" x="17"/>
        <item m="1" x="28"/>
        <item m="1" x="6"/>
        <item m="1" x="49"/>
        <item m="1" x="39"/>
        <item m="1" x="46"/>
        <item m="1" x="5"/>
        <item m="1" x="37"/>
        <item m="1" x="2"/>
        <item m="1" x="3"/>
        <item m="1" x="11"/>
        <item m="1" x="15"/>
        <item m="1" x="25"/>
        <item m="1" x="44"/>
        <item m="1" x="27"/>
        <item m="1" x="38"/>
        <item m="1" x="21"/>
        <item m="1" x="41"/>
        <item m="1" x="36"/>
        <item m="1" x="40"/>
        <item m="1" x="48"/>
        <item m="1" x="42"/>
        <item m="1" x="31"/>
        <item m="1" x="35"/>
        <item m="1" x="23"/>
        <item m="1" x="7"/>
        <item m="1" x="13"/>
        <item m="1" x="47"/>
        <item m="1" x="12"/>
        <item m="1" x="29"/>
        <item m="1" x="19"/>
        <item m="1" x="20"/>
        <item m="1" x="8"/>
        <item m="1" x="22"/>
        <item m="1" x="24"/>
        <item m="1" x="32"/>
        <item m="1" x="3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8">
        <item m="1" x="1"/>
        <item m="1" x="5"/>
        <item m="1" x="2"/>
        <item m="1" x="3"/>
        <item m="1" x="4"/>
        <item m="1" x="6"/>
        <item x="0"/>
        <item t="default"/>
      </items>
    </pivotField>
    <pivotField axis="axisRow" showAll="0">
      <items count="4">
        <item h="1" x="0"/>
        <item m="1" x="2"/>
        <item m="1" x="1"/>
        <item t="default"/>
      </items>
    </pivotField>
    <pivotField showAll="0"/>
  </pivotFields>
  <rowFields count="1">
    <field x="22"/>
  </rowFields>
  <rowItems count="1">
    <i t="grand">
      <x/>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x_version_s" xr10:uid="{6409E908-0242-4A98-9596-F92696A3A2F2}" sourceName="Fix version(s)">
  <pivotTables>
    <pivotTable tabId="15" name="PivotTable_TrendByPriority"/>
    <pivotTable tabId="15" name="PivotTable_EstimateAssessment"/>
    <pivotTable tabId="15" name="PivotTable_StatusByIssueType"/>
  </pivotTables>
  <data>
    <tabular pivotCacheId="1">
      <items count="50">
        <i x="18" s="1" nd="1"/>
        <i x="45" s="1" nd="1"/>
        <i x="30" s="1" nd="1"/>
        <i x="1" s="1" nd="1"/>
        <i x="10" s="1" nd="1"/>
        <i x="34" s="1" nd="1"/>
        <i x="43" s="1" nd="1"/>
        <i x="4" s="1" nd="1"/>
        <i x="14" s="1" nd="1"/>
        <i x="9" s="1" nd="1"/>
        <i x="16" s="1" nd="1"/>
        <i x="26" s="1" nd="1"/>
        <i x="17" s="1" nd="1"/>
        <i x="28" s="1" nd="1"/>
        <i x="6" s="1" nd="1"/>
        <i x="49" s="1" nd="1"/>
        <i x="39" s="1" nd="1"/>
        <i x="46" s="1" nd="1"/>
        <i x="5" s="1" nd="1"/>
        <i x="37" s="1" nd="1"/>
        <i x="2" s="1" nd="1"/>
        <i x="3" s="1" nd="1"/>
        <i x="11" s="1" nd="1"/>
        <i x="15" s="1" nd="1"/>
        <i x="25" s="1" nd="1"/>
        <i x="44" s="1" nd="1"/>
        <i x="27" s="1" nd="1"/>
        <i x="38" s="1" nd="1"/>
        <i x="21" s="1" nd="1"/>
        <i x="41" s="1" nd="1"/>
        <i x="36" s="1" nd="1"/>
        <i x="40" s="1" nd="1"/>
        <i x="48" s="1" nd="1"/>
        <i x="42" s="1" nd="1"/>
        <i x="31" s="1" nd="1"/>
        <i x="35" s="1" nd="1"/>
        <i x="23" s="1" nd="1"/>
        <i x="7" s="1" nd="1"/>
        <i x="13" s="1" nd="1"/>
        <i x="47" s="1" nd="1"/>
        <i x="12" s="1" nd="1"/>
        <i x="29" s="1" nd="1"/>
        <i x="19" s="1" nd="1"/>
        <i x="20" s="1" nd="1"/>
        <i x="8" s="1" nd="1"/>
        <i x="22" s="1" nd="1"/>
        <i x="24" s="1" nd="1"/>
        <i x="32" s="1" nd="1"/>
        <i x="33"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end" xr10:uid="{619C8CC7-5B01-4EBC-B726-C4BADF87BF94}" sourceName="Trend">
  <pivotTables>
    <pivotTable tabId="15" name="PivotTable_TrendByPriority"/>
    <pivotTable tabId="15" name="PivotTable_EstimateAssessment"/>
    <pivotTable tabId="15" name="PivotTable_StatusByIssueType"/>
  </pivotTables>
  <data>
    <tabular pivotCacheId="1">
      <items count="7">
        <i x="1" s="1" nd="1"/>
        <i x="5" s="1" nd="1"/>
        <i x="2" s="1" nd="1"/>
        <i x="3" s="1" nd="1"/>
        <i x="4" s="1" nd="1"/>
        <i x="6"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x version(s)" xr10:uid="{0A526479-D0D9-442B-BC0B-547A7CB0E96A}" cache="Slicer_Fix_version_s" caption="Fix version(s)" style="SlicerStyleDark1" rowHeight="241300"/>
  <slicer name="Trend" xr10:uid="{36D9F192-D451-4C51-8A90-5C2377576FCD}" cache="Slicer_Trend" caption="Trend"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C403BD9B-53F2-4075-B156-80C589C18300}" name="JiraCreateIssueTable" displayName="JiraCreateIssueTable" ref="A13:L14" totalsRowShown="0" headerRowDxfId="129" dataDxfId="128" tableBorderDxfId="127">
  <autoFilter ref="A13:L14" xr:uid="{210DE0E1-FF11-48F0-A7FF-0F8950EB17E2}"/>
  <tableColumns count="12">
    <tableColumn id="1" xr3:uid="{989FA653-01B9-454A-A7E3-FEF8A50551BE}" name="Created ID" dataDxfId="126"/>
    <tableColumn id="2" xr3:uid="{965C11DE-3F13-4A48-883B-AA3671266E01}" name="Issue Type" dataDxfId="125"/>
    <tableColumn id="3" xr3:uid="{995D6A5C-6BFA-4676-A075-E6131CBABCDB}" name="Summary" dataDxfId="124"/>
    <tableColumn id="4" xr3:uid="{6E922D03-5786-4B0E-B0AA-41445112A616}" name="Assignee" dataDxfId="123"/>
    <tableColumn id="5" xr3:uid="{F6BC13B6-7FA1-4E0C-B8CA-A571B318B32C}" name="Custom Field" dataDxfId="122"/>
    <tableColumn id="6" xr3:uid="{73190D3B-A1FA-40B1-A85D-6A9442D87174}" name="Fix Version" dataDxfId="121"/>
    <tableColumn id="7" xr3:uid="{BF7A676E-71CE-4BB8-B0D6-AEEBABE5F720}" name="Epic Key" dataDxfId="120"/>
    <tableColumn id="8" xr3:uid="{F8616D81-113C-4C59-83DE-F9536E222295}" name="Priority" dataDxfId="119"/>
    <tableColumn id="9" xr3:uid="{832310A3-1660-4718-8DE2-B30382329BE9}" name="Description" dataDxfId="118"/>
    <tableColumn id="10" xr3:uid="{B50930C7-8E96-47B1-8924-1E4586DD7CEC}" name="Label" dataDxfId="117"/>
    <tableColumn id="11" xr3:uid="{3B44540F-520F-43B0-9D4B-69C6908BAB7A}" name="Custom Field 1" dataDxfId="116"/>
    <tableColumn id="12" xr3:uid="{74998375-0E06-41C3-A9D9-D5527820E5C5}" name="Due Date" dataDxfId="1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CF2D8BA-01AF-44BD-9058-52B3883859E1}" name="JiraQueryUpdateTable" displayName="JiraQueryUpdateTable" ref="A8:X9" insertRow="1" totalsRowShown="0" headerRowDxfId="8" dataDxfId="10" tableBorderDxfId="114">
  <autoFilter ref="A8:X9" xr:uid="{BFB527BC-9378-4905-B898-B5EDD8D041A8}"/>
  <tableColumns count="24">
    <tableColumn id="1" xr3:uid="{B114A889-0132-4BD1-A4DB-7A3BFD79545B}" name="ID" dataDxfId="26"/>
    <tableColumn id="2" xr3:uid="{93964E18-3E57-46B6-810C-497269BB08F1}" name="Issue Type" dataDxfId="25"/>
    <tableColumn id="3" xr3:uid="{0D638245-9C44-4A12-8CA4-9E5992B2978C}" name="Status" dataDxfId="24"/>
    <tableColumn id="4" xr3:uid="{45AEF727-FC03-48A9-A0E5-358A4BB6A3D8}" name="Summary" dataDxfId="23"/>
    <tableColumn id="5" xr3:uid="{8CAA7B18-3198-4E1D-AAA1-C1CE23873D6E}" name="Assignee" dataDxfId="22"/>
    <tableColumn id="6" xr3:uid="{C8FFFB38-27B1-4A64-8311-CE7353F2A40E}" name="Epic Link" dataDxfId="21"/>
    <tableColumn id="7" xr3:uid="{D05857D5-2A4D-4003-B588-60D216E19C88}" name="Blocked By" dataDxfId="20"/>
    <tableColumn id="8" xr3:uid="{5F8D10DC-131E-4BB6-BC32-7A0FA94345E8}" name="Blocks" dataDxfId="19"/>
    <tableColumn id="9" xr3:uid="{EA134D41-D413-41DB-A4FD-94D4A0D17FB8}" name="Fix version(s)" dataDxfId="18"/>
    <tableColumn id="10" xr3:uid="{74A8769B-C4B0-4218-AD58-D82FBC1A9283}" name="Priority" dataDxfId="17"/>
    <tableColumn id="11" xr3:uid="{DE0E7A8B-30E4-4E6E-B9E8-C48B7C9F7491}" name="Custom Field 2" dataDxfId="16"/>
    <tableColumn id="12" xr3:uid="{6423D8B3-60B5-4ABE-9121-CD249D914A1A}" name="Due Date" dataDxfId="7"/>
    <tableColumn id="13" xr3:uid="{25F90CDE-25E7-4DDE-B71E-F7DEF8E8BAD4}" name="Start Date" dataDxfId="6"/>
    <tableColumn id="14" xr3:uid="{84C981CF-DA81-46DD-86B6-A2DE3FE087BB}" name="End Date" dataDxfId="4"/>
    <tableColumn id="15" xr3:uid="{6A9D6456-73EE-4636-8F6B-9D08F1386B73}" name="Custom Field 1" dataDxfId="5"/>
    <tableColumn id="16" xr3:uid="{253B1639-7E1D-4B90-B9BD-B80BE833A58A}" name="Component(s)" dataDxfId="15"/>
    <tableColumn id="17" xr3:uid="{93EE8967-481C-4B32-94FC-F053D6E94C38}" name="Original Estimate" dataDxfId="14"/>
    <tableColumn id="18" xr3:uid="{3F9F5E22-AC0B-4B7A-87ED-7A40B03440D6}" name="Remaining Estimate" dataDxfId="13"/>
    <tableColumn id="19" xr3:uid="{566BCC32-6A24-4456-A524-A81B564A9BCC}" name="Time Spent" dataDxfId="12"/>
    <tableColumn id="20" xr3:uid="{A29E9930-4B37-46EB-8169-678D5ADD7229}" name="Add Comment" dataDxfId="11"/>
    <tableColumn id="21" xr3:uid="{0EDFBE3B-A747-4353-AFC1-448C0AFE92BF}" name="Bandwidth Planned" dataDxfId="0"/>
    <tableColumn id="22" xr3:uid="{1B396E5F-05F1-441F-AD52-2F6628EEB514}" name="Trend" dataDxfId="1"/>
    <tableColumn id="23" xr3:uid="{E37FF673-B2A4-4F80-8D45-328485A4FA3E}" name="Assessment" dataDxfId="3"/>
    <tableColumn id="24" xr3:uid="{14974507-46EC-499B-9EE1-1508EB084525}" name="Best Case End Date" dataDxfId="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2507CAC-703A-47D8-95ED-0063030016DA}" name="Table_IndiaHoliday2019" displayName="Table_IndiaHoliday2019" ref="A1:A13" totalsRowShown="0" headerRowDxfId="113" dataDxfId="112">
  <autoFilter ref="A1:A13" xr:uid="{FBF7601F-7243-45E2-83A0-6E256CAFFE93}"/>
  <tableColumns count="1">
    <tableColumn id="1" xr3:uid="{FD4C7D42-3FB0-4805-BE4A-81E5BF9FE7E5}" name="Intel India Holidays 2019" dataDxfId="1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4092B82-7F12-41D2-9DA5-5A4BA0D9BBA4}" name="Table_USHoliday201918" displayName="Table_USHoliday201918" ref="C1:C11" totalsRowShown="0" headerRowDxfId="110" dataDxfId="109">
  <autoFilter ref="C1:C11" xr:uid="{3E53BFC8-AA9F-48E6-93BD-FB91686CF979}"/>
  <tableColumns count="1">
    <tableColumn id="1" xr3:uid="{DA939A19-854D-4B16-A83E-82D4CD26BE46}" name="Intel US Holidays 2019" dataDxfId="10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C57E44-2C56-4FE2-95AB-EF3168C0F5E5}" name="Table_ReleaseNotes" displayName="Table_ReleaseNotes" ref="A1:F14" totalsRowShown="0" headerRowDxfId="107" dataDxfId="106">
  <autoFilter ref="A1:F14" xr:uid="{35686061-8080-4BFD-8601-1CA6D654A260}"/>
  <tableColumns count="6">
    <tableColumn id="1" xr3:uid="{18B66CB8-03EE-420E-BFCE-976F537E2173}" name="ID" dataDxfId="105"/>
    <tableColumn id="2" xr3:uid="{0A24DB3E-E5C5-4CA9-B5E2-3CFF7E8EF566}" name="Date" dataDxfId="104"/>
    <tableColumn id="3" xr3:uid="{74AB4B45-711E-49A1-8F5A-DF830D8E01A5}" name="Description" dataDxfId="103"/>
    <tableColumn id="4" xr3:uid="{937148E8-697C-4D26-823B-772EA9D631A2}" name="Status" dataDxfId="102"/>
    <tableColumn id="5" xr3:uid="{13C725D0-7F16-4265-97CC-F57B1E716422}" name="Type" dataDxfId="101"/>
    <tableColumn id="6" xr3:uid="{8872DEB5-A426-44AA-BF61-E6BA33F0C231}" name="Comments" dataDxfId="1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B5A2371-2BE5-4BC9-A314-94367DBEB889}" name="Table_Requests" displayName="Table_Requests" ref="A1:G8" totalsRowShown="0" headerRowDxfId="99" dataDxfId="98">
  <autoFilter ref="A1:G8" xr:uid="{DA61178B-7C75-409E-B648-DAB96DA5352F}"/>
  <tableColumns count="7">
    <tableColumn id="1" xr3:uid="{40BEC1AB-9FED-4145-818A-C209295DC629}" name="ID" dataDxfId="97"/>
    <tableColumn id="7" xr3:uid="{20E15020-AA3D-4407-9D3F-B6C2C7731578}" name="Submitter" dataDxfId="96"/>
    <tableColumn id="2" xr3:uid="{25FF11C6-D1E9-4017-A410-EC5846CDE6C1}" name="Date" dataDxfId="95"/>
    <tableColumn id="3" xr3:uid="{69F74BCB-883D-4D29-8740-D690CBFC2D00}" name="Description" dataDxfId="94"/>
    <tableColumn id="6" xr3:uid="{F93F8EB6-720F-46BF-A835-3DE591B7727E}" name="Status" dataDxfId="93"/>
    <tableColumn id="4" xr3:uid="{14FCB8C0-3536-4B49-924F-4C49BEF29659}" name="Type" dataDxfId="92"/>
    <tableColumn id="5" xr3:uid="{09B0221F-1BCC-470D-ABE4-30D8F4BBD343}" name="Comments"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D00D284-B871-4D28-9345-54A0D03C4C30}" name="JiraIssueTypeIDs" displayName="JiraIssueTypeIDs" ref="A1:B2" insertRow="1" totalsRowShown="0" headerRowDxfId="90" dataDxfId="89">
  <autoFilter ref="A1:B2" xr:uid="{8E4A0A33-D75B-43AA-AA78-E70C7B9850D0}"/>
  <sortState ref="A2:B2">
    <sortCondition ref="B1:B2"/>
  </sortState>
  <tableColumns count="2">
    <tableColumn id="1" xr3:uid="{811A8916-A1B9-4E84-AE85-1DEB5CECB83E}" name="Issue Type" dataDxfId="88"/>
    <tableColumn id="2" xr3:uid="{EF6B06F3-C216-421D-A7F5-ABEF6D95C91B}" name="ID" dataDxfId="8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27338E3-3806-4746-B0C4-B3AED56C922E}" name="JiraProjectIDs" displayName="JiraProjectIDs" ref="D1:E2" insertRow="1" totalsRowShown="0" headerRowDxfId="86" dataDxfId="85">
  <autoFilter ref="D1:E2" xr:uid="{23088150-4C84-48D1-A818-35244A364E8C}"/>
  <tableColumns count="2">
    <tableColumn id="1" xr3:uid="{668A91DA-9462-4186-97A1-E8698C54A3DE}" name="Project" dataDxfId="84"/>
    <tableColumn id="2" xr3:uid="{FD75443E-0CF6-4E5C-9110-AAF5BA5F59F3}" name="ID" dataDxfId="8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2CB87F-CA74-4657-90E1-22EA71B635DC}" name="JiraStatusIDs" displayName="JiraStatusIDs" ref="G1:H2" insertRow="1" totalsRowShown="0" headerRowDxfId="82" dataDxfId="81">
  <autoFilter ref="G1:H2" xr:uid="{8A5C22D3-F75D-4618-AEB8-B2B93ACB7D4E}"/>
  <tableColumns count="2">
    <tableColumn id="1" xr3:uid="{4B34DAED-D36B-431B-A60B-5197C19E1323}" name="Status" dataDxfId="80"/>
    <tableColumn id="2" xr3:uid="{BC40723F-E08E-41DB-8697-40464E33ADF0}" name="ID" dataDxfId="7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3429FE-4A7A-4E04-9E71-CB7DC6D34FE1}" name="VsdiFixVersionIds" displayName="VsdiFixVersionIds" ref="J1:M2" insertRow="1" totalsRowShown="0" headerRowDxfId="78" dataDxfId="77">
  <autoFilter ref="J1:M2" xr:uid="{F650D42D-2CD5-439F-A618-0F5966B00A31}"/>
  <tableColumns count="4">
    <tableColumn id="1" xr3:uid="{5DDA548B-42CC-4A7E-AA5C-4CF3952076A2}" name="Proj1 Fix Version" dataDxfId="76"/>
    <tableColumn id="2" xr3:uid="{55094F6C-C1ED-4E1E-AD7D-C82BAA1A7EFD}" name="ID" dataDxfId="75"/>
    <tableColumn id="3" xr3:uid="{67D09429-23B6-4C74-9E00-920F93CFCCCD}" name="Start Date" dataDxfId="74"/>
    <tableColumn id="4" xr3:uid="{866EE433-1BD2-4446-879B-C6EB191951E1}" name="Release Date" dataDxfId="7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5C07C2-93DC-4C96-BEF4-C02B1030260B}" name="VpmgFixVersionIds" displayName="VpmgFixVersionIds" ref="O1:P2" insertRow="1" totalsRowShown="0" headerRowDxfId="72" dataDxfId="71">
  <autoFilter ref="O1:P2" xr:uid="{3ECB1150-BB10-43A6-8F73-FAC72977C5E5}"/>
  <tableColumns count="2">
    <tableColumn id="1" xr3:uid="{0DA0F931-F3E5-4D2B-92ED-15D2E20A69C4}" name="Proj2 Fix Version" dataDxfId="70"/>
    <tableColumn id="2" xr3:uid="{1F9FAF4A-39A6-4C76-89D4-0620F876C41C}" name="ID" dataDxfId="6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6C8877-1E5D-4E78-B1E9-560B9ECDD950}" name="JiraFieldIds" displayName="JiraFieldIds" ref="R1:S2" insertRow="1" totalsRowShown="0" headerRowDxfId="68" dataDxfId="67">
  <autoFilter ref="R1:S2" xr:uid="{1301821F-2584-4C0E-939F-FF3268C99BB9}"/>
  <tableColumns count="2">
    <tableColumn id="1" xr3:uid="{EF2FDC88-8B60-4678-B9C8-3A3C2A743669}" name="Field Name" dataDxfId="66"/>
    <tableColumn id="2" xr3:uid="{83836603-6748-4175-9317-945155EEE4D6}" name="ID" dataDxfId="6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125B04D-8F42-4404-A9EE-41BA4F0A9017}" name="FavouriteFilters" displayName="FavouriteFilters" ref="U1:V2" insertRow="1" totalsRowShown="0" headerRowDxfId="64" dataDxfId="63">
  <autoFilter ref="U1:V2" xr:uid="{11447286-A7CF-4C95-AF07-2B80ACB2CDB2}"/>
  <tableColumns count="2">
    <tableColumn id="1" xr3:uid="{38E5C97F-7BD4-4207-88E2-46327AE1FC80}" name="Filter Name" dataDxfId="62"/>
    <tableColumn id="2" xr3:uid="{3636A02B-E9FE-45DB-8CA7-EDBD4800D34D}" name="ID" dataDxfId="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63E42DF-FB10-4651-9F87-ED6FC40E0835}" name="VsdiFlags" displayName="VsdiFlags" ref="X1:Y2" insertRow="1" totalsRowShown="0" headerRowDxfId="60" dataDxfId="59">
  <autoFilter ref="X1:Y2" xr:uid="{E0AD9D2E-E057-4F1D-945C-B39AE9A4D075}"/>
  <tableColumns count="2">
    <tableColumn id="1" xr3:uid="{EB417FDD-8A1E-4F93-8C5F-EBBDE2C07AA6}" name="Custom Field 0" dataDxfId="58"/>
    <tableColumn id="2" xr3:uid="{C9C0A3CD-8218-4239-8B2F-E5D248603892}" name="ID" dataDxfId="5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BAF3A9-0595-447C-8D8D-39E12B4468D2}" name="JiraPriorityIds" displayName="JiraPriorityIds" ref="AA1:AB2" insertRow="1" totalsRowShown="0" headerRowDxfId="56" dataDxfId="55">
  <autoFilter ref="AA1:AB2" xr:uid="{6D7E1EA7-5294-4D2F-BDE7-F9CFB78754E2}"/>
  <tableColumns count="2">
    <tableColumn id="1" xr3:uid="{1D908BC2-EAB4-4784-B3B0-0B1ADAF6E79B}" name="Priority" dataDxfId="54"/>
    <tableColumn id="2" xr3:uid="{EF946601-EF7A-4CCE-89D8-C524997BADA5}" name="ID" dataDxfId="53"/>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0E1A65-BF22-4905-B70E-FF3AB6727171}" name="VsdiComponents" displayName="VsdiComponents" ref="AD1:AE2" insertRow="1" totalsRowShown="0" headerRowDxfId="52" dataDxfId="51">
  <autoFilter ref="AD1:AE2" xr:uid="{29FDBF82-3704-4933-B410-77D0D5B88673}"/>
  <tableColumns count="2">
    <tableColumn id="1" xr3:uid="{5EEEEAE0-C516-4B94-95DE-9DD1E2DAE1FF}" name="Component Name" dataDxfId="50"/>
    <tableColumn id="2" xr3:uid="{22A6C270-E7AC-4D06-8293-1F3AD174CEB9}" name="ID" dataDxfId="4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1C1306F-01AE-4EC7-B826-FE026B7DD51A}" name="VsdiPlatforms" displayName="VsdiPlatforms" ref="AG1:AH2" insertRow="1" totalsRowShown="0" headerRowDxfId="48" dataDxfId="47">
  <autoFilter ref="AG1:AH2" xr:uid="{682B4503-D5AB-480E-A74E-0FEDABB9D92E}"/>
  <tableColumns count="2">
    <tableColumn id="1" xr3:uid="{90BF5622-E449-402B-A0FA-5CC50A6EAF72}" name="Custom Field 1" dataDxfId="46"/>
    <tableColumn id="2" xr3:uid="{7B57065F-BF58-400F-8A4F-3075CD4D9038}" name="ID" dataDxfId="4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EEBEC26-B4DF-43D1-8982-877031056815}" name="VsdiOSes" displayName="VsdiOSes" ref="AJ1:AK2" insertRow="1" totalsRowShown="0" headerRowDxfId="44" dataDxfId="43">
  <autoFilter ref="AJ1:AK2" xr:uid="{B03E917F-CEC5-4739-A18B-C121465DFC14}"/>
  <tableColumns count="2">
    <tableColumn id="1" xr3:uid="{B7AB1992-B414-4D13-A150-D3F633FAE17A}" name="Custom Field 2" dataDxfId="42"/>
    <tableColumn id="2" xr3:uid="{8B5457FE-49EA-4F23-80AB-DA578B82C72C}" name="ID" dataDxfId="4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569EE4F-D361-43A7-ADCA-5FE380086D7E}" name="Resolution" displayName="Resolution" ref="AS1:AT2" insertRow="1" totalsRowShown="0" headerRowDxfId="40" dataDxfId="39">
  <autoFilter ref="AS1:AT2" xr:uid="{167390B7-2A35-4D86-A063-7A300206C461}"/>
  <tableColumns count="2">
    <tableColumn id="1" xr3:uid="{EFF4441A-B250-4F74-B0D8-7F722EB6D3C6}" name="Resolution" dataDxfId="38"/>
    <tableColumn id="2" xr3:uid="{26E6AE22-6C9A-4921-8015-41C4B4D0255C}" name="ID" dataDxfId="3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3327675-C74E-4242-BBF3-4363C2E98A59}" name="VsriUsers" displayName="VsriUsers" ref="AM1:AQ2" insertRow="1" totalsRowShown="0" headerRowDxfId="36" dataDxfId="34" headerRowBorderDxfId="35" tableBorderDxfId="33" totalsRowBorderDxfId="32">
  <autoFilter ref="AM1:AQ2" xr:uid="{A8753DE3-43C1-4B19-A6FF-E05966CA2B70}"/>
  <tableColumns count="5">
    <tableColumn id="1" xr3:uid="{F02B6F1B-0604-42F8-86A2-0E751967853C}" name="Name" dataDxfId="31"/>
    <tableColumn id="2" xr3:uid="{8A175568-187C-4B13-9B11-233FA6842A5D}" name="IDSID" dataDxfId="30"/>
    <tableColumn id="3" xr3:uid="{E061F144-E8F8-4913-88FA-50FB7C4CFDC8}" name="Found?" dataDxfId="29">
      <calculatedColumnFormula>--ISNUMBER(SEARCH(Query_Update!$D$2,VsriUsers[[#This Row],[Name]]))</calculatedColumnFormula>
    </tableColumn>
    <tableColumn id="4" xr3:uid="{AF25EFEF-4E7C-4D82-A598-B7174EE34917}" name="Fequency" dataDxfId="28">
      <calculatedColumnFormula>IF(VsriUsers[[#This Row],[Found?]]=1,COUNTIF(INDIRECT("$AO$2:$AO" &amp; ROW()),1),"")</calculatedColumnFormula>
    </tableColumn>
    <tableColumn id="5" xr3:uid="{E3818449-FB0F-422E-AF0A-82439CEA2AE3}" name="Search List" dataDxfId="27">
      <calculatedColumnFormula>IFERROR(INDEX(AM:AM, MATCH(ROWS(INDIRECT("$AP$2:$AP" &amp; ROW())),AP:AP,0)),"")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2.xml"/><Relationship Id="rId13" Type="http://schemas.openxmlformats.org/officeDocument/2006/relationships/table" Target="../tables/table17.xml"/><Relationship Id="rId3" Type="http://schemas.openxmlformats.org/officeDocument/2006/relationships/table" Target="../tables/table7.xml"/><Relationship Id="rId7" Type="http://schemas.openxmlformats.org/officeDocument/2006/relationships/table" Target="../tables/table11.xml"/><Relationship Id="rId12" Type="http://schemas.openxmlformats.org/officeDocument/2006/relationships/table" Target="../tables/table16.xml"/><Relationship Id="rId2" Type="http://schemas.openxmlformats.org/officeDocument/2006/relationships/drawing" Target="../drawings/drawing4.xml"/><Relationship Id="rId16" Type="http://schemas.openxmlformats.org/officeDocument/2006/relationships/table" Target="../tables/table20.xml"/><Relationship Id="rId1" Type="http://schemas.openxmlformats.org/officeDocument/2006/relationships/printerSettings" Target="../printerSettings/printerSettings5.bin"/><Relationship Id="rId6" Type="http://schemas.openxmlformats.org/officeDocument/2006/relationships/table" Target="../tables/table10.xml"/><Relationship Id="rId11" Type="http://schemas.openxmlformats.org/officeDocument/2006/relationships/table" Target="../tables/table15.xml"/><Relationship Id="rId5" Type="http://schemas.openxmlformats.org/officeDocument/2006/relationships/table" Target="../tables/table9.xml"/><Relationship Id="rId15" Type="http://schemas.openxmlformats.org/officeDocument/2006/relationships/table" Target="../tables/table19.xml"/><Relationship Id="rId10" Type="http://schemas.openxmlformats.org/officeDocument/2006/relationships/table" Target="../tables/table14.xml"/><Relationship Id="rId4" Type="http://schemas.openxmlformats.org/officeDocument/2006/relationships/table" Target="../tables/table8.xml"/><Relationship Id="rId9" Type="http://schemas.openxmlformats.org/officeDocument/2006/relationships/table" Target="../tables/table13.xml"/><Relationship Id="rId14"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1A244-16E6-4BEF-AAF5-CA9423448A2B}">
  <sheetPr codeName="Sheet1"/>
  <dimension ref="A1:H42"/>
  <sheetViews>
    <sheetView tabSelected="1" zoomScale="110" zoomScaleNormal="110" workbookViewId="0"/>
  </sheetViews>
  <sheetFormatPr defaultRowHeight="18" x14ac:dyDescent="0.25"/>
  <cols>
    <col min="1" max="1" width="28.7109375" style="13" bestFit="1" customWidth="1"/>
    <col min="2" max="2" width="23" style="13" customWidth="1"/>
    <col min="3" max="3" width="117" style="13" customWidth="1"/>
    <col min="4" max="4" width="9.140625" style="13"/>
    <col min="5" max="5" width="17.85546875" style="13" bestFit="1" customWidth="1"/>
    <col min="6" max="8" width="10.7109375" style="13" customWidth="1"/>
    <col min="9" max="16384" width="9.140625" style="13"/>
  </cols>
  <sheetData>
    <row r="1" spans="1:8" ht="3" customHeight="1" thickBot="1" x14ac:dyDescent="0.3">
      <c r="A1" s="51"/>
      <c r="B1" s="52"/>
      <c r="C1" s="53"/>
    </row>
    <row r="2" spans="1:8" ht="22.5" thickBot="1" x14ac:dyDescent="0.3">
      <c r="A2" s="98" t="s">
        <v>40</v>
      </c>
      <c r="B2" s="50" t="s">
        <v>98</v>
      </c>
      <c r="C2" s="25"/>
      <c r="E2" s="47" t="s">
        <v>84</v>
      </c>
      <c r="F2" s="48" t="s">
        <v>85</v>
      </c>
      <c r="G2" s="48" t="s">
        <v>86</v>
      </c>
      <c r="H2" s="49" t="s">
        <v>87</v>
      </c>
    </row>
    <row r="3" spans="1:8" ht="36" x14ac:dyDescent="0.25">
      <c r="A3" s="99"/>
      <c r="B3" s="14" t="s">
        <v>88</v>
      </c>
      <c r="C3" s="26" t="s">
        <v>52</v>
      </c>
      <c r="E3" s="44" t="s">
        <v>7</v>
      </c>
      <c r="F3" s="45" t="s">
        <v>92</v>
      </c>
      <c r="G3" s="45" t="s">
        <v>92</v>
      </c>
      <c r="H3" s="46" t="s">
        <v>92</v>
      </c>
    </row>
    <row r="4" spans="1:8" ht="36.75" thickBot="1" x14ac:dyDescent="0.3">
      <c r="A4" s="100"/>
      <c r="B4" s="27" t="s">
        <v>89</v>
      </c>
      <c r="C4" s="28" t="s">
        <v>99</v>
      </c>
      <c r="E4" s="38" t="s">
        <v>1</v>
      </c>
      <c r="F4" s="36" t="s">
        <v>92</v>
      </c>
      <c r="G4" s="36" t="s">
        <v>92</v>
      </c>
      <c r="H4" s="39" t="s">
        <v>92</v>
      </c>
    </row>
    <row r="5" spans="1:8" ht="18.75" thickBot="1" x14ac:dyDescent="0.3">
      <c r="A5" s="29"/>
      <c r="B5" s="30"/>
      <c r="C5" s="31"/>
      <c r="E5" s="38" t="s">
        <v>10</v>
      </c>
      <c r="F5" s="37" t="s">
        <v>93</v>
      </c>
      <c r="G5" s="36" t="s">
        <v>92</v>
      </c>
      <c r="H5" s="39" t="s">
        <v>92</v>
      </c>
    </row>
    <row r="6" spans="1:8" ht="21.75" x14ac:dyDescent="0.25">
      <c r="A6" s="107" t="s">
        <v>65</v>
      </c>
      <c r="B6" s="94" t="s">
        <v>67</v>
      </c>
      <c r="C6" s="25"/>
      <c r="E6" s="38" t="s">
        <v>161</v>
      </c>
      <c r="F6" s="36" t="s">
        <v>92</v>
      </c>
      <c r="G6" s="37" t="s">
        <v>93</v>
      </c>
      <c r="H6" s="40" t="s">
        <v>93</v>
      </c>
    </row>
    <row r="7" spans="1:8" ht="18" customHeight="1" x14ac:dyDescent="0.25">
      <c r="A7" s="108"/>
      <c r="B7" s="101" t="s">
        <v>68</v>
      </c>
      <c r="C7" s="32" t="s">
        <v>105</v>
      </c>
      <c r="E7" s="38" t="s">
        <v>32</v>
      </c>
      <c r="F7" s="36" t="s">
        <v>92</v>
      </c>
      <c r="G7" s="36" t="s">
        <v>92</v>
      </c>
      <c r="H7" s="39" t="s">
        <v>92</v>
      </c>
    </row>
    <row r="8" spans="1:8" ht="18" customHeight="1" x14ac:dyDescent="0.25">
      <c r="A8" s="108"/>
      <c r="B8" s="102"/>
      <c r="C8" s="32" t="s">
        <v>104</v>
      </c>
      <c r="E8" s="38" t="s">
        <v>28</v>
      </c>
      <c r="F8" s="36" t="s">
        <v>92</v>
      </c>
      <c r="G8" s="37" t="s">
        <v>93</v>
      </c>
      <c r="H8" s="40" t="s">
        <v>93</v>
      </c>
    </row>
    <row r="9" spans="1:8" ht="18" customHeight="1" x14ac:dyDescent="0.25">
      <c r="A9" s="108"/>
      <c r="B9" s="102"/>
      <c r="C9" s="32" t="s">
        <v>103</v>
      </c>
      <c r="E9" s="38" t="s">
        <v>6</v>
      </c>
      <c r="F9" s="36" t="s">
        <v>92</v>
      </c>
      <c r="G9" s="36" t="s">
        <v>92</v>
      </c>
      <c r="H9" s="39" t="s">
        <v>92</v>
      </c>
    </row>
    <row r="10" spans="1:8" ht="18" customHeight="1" x14ac:dyDescent="0.25">
      <c r="A10" s="108"/>
      <c r="B10" s="102"/>
      <c r="C10" s="32" t="s">
        <v>102</v>
      </c>
      <c r="E10" s="38" t="s">
        <v>25</v>
      </c>
      <c r="F10" s="36" t="s">
        <v>92</v>
      </c>
      <c r="G10" s="36" t="s">
        <v>92</v>
      </c>
      <c r="H10" s="39" t="s">
        <v>92</v>
      </c>
    </row>
    <row r="11" spans="1:8" ht="18" customHeight="1" x14ac:dyDescent="0.25">
      <c r="A11" s="108"/>
      <c r="B11" s="102"/>
      <c r="C11" s="32" t="s">
        <v>69</v>
      </c>
      <c r="E11" s="38" t="s">
        <v>33</v>
      </c>
      <c r="F11" s="36" t="s">
        <v>92</v>
      </c>
      <c r="G11" s="37" t="s">
        <v>93</v>
      </c>
      <c r="H11" s="40" t="s">
        <v>93</v>
      </c>
    </row>
    <row r="12" spans="1:8" ht="18" customHeight="1" x14ac:dyDescent="0.25">
      <c r="A12" s="108"/>
      <c r="B12" s="102"/>
      <c r="C12" s="32" t="s">
        <v>70</v>
      </c>
      <c r="E12" s="38" t="s">
        <v>162</v>
      </c>
      <c r="F12" s="36" t="s">
        <v>92</v>
      </c>
      <c r="G12" s="36" t="s">
        <v>92</v>
      </c>
      <c r="H12" s="39" t="s">
        <v>92</v>
      </c>
    </row>
    <row r="13" spans="1:8" ht="18" customHeight="1" x14ac:dyDescent="0.25">
      <c r="A13" s="108"/>
      <c r="B13" s="102"/>
      <c r="C13" s="32" t="s">
        <v>71</v>
      </c>
      <c r="E13" s="38" t="s">
        <v>163</v>
      </c>
      <c r="F13" s="37" t="s">
        <v>93</v>
      </c>
      <c r="G13" s="36" t="s">
        <v>92</v>
      </c>
      <c r="H13" s="39" t="s">
        <v>92</v>
      </c>
    </row>
    <row r="14" spans="1:8" ht="18" customHeight="1" x14ac:dyDescent="0.25">
      <c r="A14" s="108"/>
      <c r="B14" s="102"/>
      <c r="C14" s="32" t="s">
        <v>72</v>
      </c>
      <c r="E14" s="38" t="s">
        <v>90</v>
      </c>
      <c r="F14" s="37" t="s">
        <v>93</v>
      </c>
      <c r="G14" s="36" t="s">
        <v>92</v>
      </c>
      <c r="H14" s="39" t="s">
        <v>92</v>
      </c>
    </row>
    <row r="15" spans="1:8" ht="18" customHeight="1" x14ac:dyDescent="0.25">
      <c r="A15" s="108"/>
      <c r="B15" s="102"/>
      <c r="C15" s="32" t="s">
        <v>73</v>
      </c>
      <c r="E15" s="38" t="s">
        <v>3</v>
      </c>
      <c r="F15" s="36" t="s">
        <v>92</v>
      </c>
      <c r="G15" s="36" t="s">
        <v>92</v>
      </c>
      <c r="H15" s="39" t="s">
        <v>92</v>
      </c>
    </row>
    <row r="16" spans="1:8" ht="18" customHeight="1" x14ac:dyDescent="0.25">
      <c r="A16" s="108"/>
      <c r="B16" s="103"/>
      <c r="C16" s="32" t="s">
        <v>74</v>
      </c>
      <c r="E16" s="38" t="s">
        <v>4</v>
      </c>
      <c r="F16" s="37" t="s">
        <v>93</v>
      </c>
      <c r="G16" s="36" t="s">
        <v>92</v>
      </c>
      <c r="H16" s="39" t="s">
        <v>92</v>
      </c>
    </row>
    <row r="17" spans="1:8" ht="92.25" customHeight="1" x14ac:dyDescent="0.25">
      <c r="A17" s="108"/>
      <c r="B17" s="104" t="s">
        <v>106</v>
      </c>
      <c r="C17" s="26" t="s">
        <v>148</v>
      </c>
      <c r="E17" s="38" t="s">
        <v>5</v>
      </c>
      <c r="F17" s="37" t="s">
        <v>93</v>
      </c>
      <c r="G17" s="36" t="s">
        <v>92</v>
      </c>
      <c r="H17" s="39" t="s">
        <v>92</v>
      </c>
    </row>
    <row r="18" spans="1:8" ht="18" customHeight="1" x14ac:dyDescent="0.25">
      <c r="A18" s="108"/>
      <c r="B18" s="105"/>
      <c r="C18" s="32" t="s">
        <v>107</v>
      </c>
      <c r="E18" s="38" t="s">
        <v>24</v>
      </c>
      <c r="F18" s="37" t="s">
        <v>93</v>
      </c>
      <c r="G18" s="36" t="s">
        <v>92</v>
      </c>
      <c r="H18" s="39" t="s">
        <v>92</v>
      </c>
    </row>
    <row r="19" spans="1:8" ht="18" customHeight="1" x14ac:dyDescent="0.25">
      <c r="A19" s="108"/>
      <c r="B19" s="105"/>
      <c r="C19" s="32" t="s">
        <v>75</v>
      </c>
      <c r="E19" s="38" t="s">
        <v>20</v>
      </c>
      <c r="F19" s="37" t="s">
        <v>93</v>
      </c>
      <c r="G19" s="36" t="s">
        <v>92</v>
      </c>
      <c r="H19" s="39" t="s">
        <v>92</v>
      </c>
    </row>
    <row r="20" spans="1:8" ht="36" x14ac:dyDescent="0.25">
      <c r="A20" s="108"/>
      <c r="B20" s="105"/>
      <c r="C20" s="26" t="s">
        <v>96</v>
      </c>
      <c r="E20" s="38" t="s">
        <v>91</v>
      </c>
      <c r="F20" s="37" t="s">
        <v>93</v>
      </c>
      <c r="G20" s="36" t="s">
        <v>92</v>
      </c>
      <c r="H20" s="39" t="s">
        <v>92</v>
      </c>
    </row>
    <row r="21" spans="1:8" ht="18.75" customHeight="1" x14ac:dyDescent="0.25">
      <c r="A21" s="108"/>
      <c r="B21" s="106"/>
      <c r="C21" s="26" t="s">
        <v>160</v>
      </c>
      <c r="E21" s="38" t="s">
        <v>26</v>
      </c>
      <c r="F21" s="37" t="s">
        <v>93</v>
      </c>
      <c r="G21" s="36" t="s">
        <v>92</v>
      </c>
      <c r="H21" s="39" t="s">
        <v>92</v>
      </c>
    </row>
    <row r="22" spans="1:8" ht="18" customHeight="1" x14ac:dyDescent="0.25">
      <c r="A22" s="108"/>
      <c r="B22" s="95" t="s">
        <v>76</v>
      </c>
      <c r="C22" s="32" t="s">
        <v>77</v>
      </c>
      <c r="E22" s="38" t="s">
        <v>19</v>
      </c>
      <c r="F22" s="37" t="s">
        <v>93</v>
      </c>
      <c r="G22" s="36" t="s">
        <v>92</v>
      </c>
      <c r="H22" s="39" t="s">
        <v>92</v>
      </c>
    </row>
    <row r="23" spans="1:8" ht="18" customHeight="1" x14ac:dyDescent="0.25">
      <c r="A23" s="108"/>
      <c r="B23" s="95" t="s">
        <v>78</v>
      </c>
      <c r="C23" s="32" t="s">
        <v>79</v>
      </c>
      <c r="E23" s="38" t="s">
        <v>128</v>
      </c>
      <c r="F23" s="37" t="s">
        <v>93</v>
      </c>
      <c r="G23" s="36" t="s">
        <v>92</v>
      </c>
      <c r="H23" s="64" t="s">
        <v>92</v>
      </c>
    </row>
    <row r="24" spans="1:8" ht="18" customHeight="1" thickBot="1" x14ac:dyDescent="0.3">
      <c r="A24" s="108"/>
      <c r="B24" s="95" t="s">
        <v>80</v>
      </c>
      <c r="C24" s="32" t="s">
        <v>81</v>
      </c>
      <c r="E24" s="41" t="s">
        <v>129</v>
      </c>
      <c r="F24" s="42" t="s">
        <v>93</v>
      </c>
      <c r="G24" s="43" t="s">
        <v>92</v>
      </c>
      <c r="H24" s="65" t="s">
        <v>92</v>
      </c>
    </row>
    <row r="25" spans="1:8" ht="18.75" customHeight="1" x14ac:dyDescent="0.25">
      <c r="A25" s="108"/>
      <c r="B25" s="97" t="s">
        <v>100</v>
      </c>
      <c r="C25" s="54" t="s">
        <v>101</v>
      </c>
    </row>
    <row r="26" spans="1:8" ht="18.75" thickBot="1" x14ac:dyDescent="0.3">
      <c r="A26" s="109"/>
      <c r="B26" s="96" t="s">
        <v>82</v>
      </c>
      <c r="C26" s="33" t="s">
        <v>83</v>
      </c>
    </row>
    <row r="27" spans="1:8" ht="18.75" customHeight="1" thickBot="1" x14ac:dyDescent="0.3">
      <c r="A27" s="111"/>
      <c r="B27" s="34"/>
      <c r="C27" s="35"/>
    </row>
    <row r="28" spans="1:8" ht="21.75" x14ac:dyDescent="0.25">
      <c r="A28" s="107" t="s">
        <v>39</v>
      </c>
      <c r="B28" s="94" t="s">
        <v>97</v>
      </c>
      <c r="C28" s="25"/>
    </row>
    <row r="29" spans="1:8" ht="18" customHeight="1" x14ac:dyDescent="0.25">
      <c r="A29" s="108"/>
      <c r="B29" s="95" t="s">
        <v>94</v>
      </c>
      <c r="C29" s="32" t="s">
        <v>95</v>
      </c>
    </row>
    <row r="30" spans="1:8" ht="18" customHeight="1" x14ac:dyDescent="0.25">
      <c r="A30" s="108"/>
      <c r="B30" s="95" t="s">
        <v>58</v>
      </c>
      <c r="C30" s="32" t="s">
        <v>59</v>
      </c>
    </row>
    <row r="31" spans="1:8" ht="18" customHeight="1" x14ac:dyDescent="0.25">
      <c r="A31" s="108"/>
      <c r="B31" s="95" t="s">
        <v>57</v>
      </c>
      <c r="C31" s="32" t="s">
        <v>60</v>
      </c>
    </row>
    <row r="32" spans="1:8" ht="18" customHeight="1" x14ac:dyDescent="0.25">
      <c r="A32" s="108"/>
      <c r="B32" s="95" t="s">
        <v>56</v>
      </c>
      <c r="C32" s="32" t="s">
        <v>61</v>
      </c>
    </row>
    <row r="33" spans="1:3" ht="18" customHeight="1" x14ac:dyDescent="0.25">
      <c r="A33" s="108"/>
      <c r="B33" s="95" t="s">
        <v>177</v>
      </c>
      <c r="C33" s="32" t="s">
        <v>178</v>
      </c>
    </row>
    <row r="34" spans="1:3" ht="18" customHeight="1" x14ac:dyDescent="0.25">
      <c r="A34" s="108"/>
      <c r="B34" s="95" t="s">
        <v>180</v>
      </c>
      <c r="C34" s="32" t="s">
        <v>179</v>
      </c>
    </row>
    <row r="35" spans="1:3" ht="18" customHeight="1" x14ac:dyDescent="0.25">
      <c r="A35" s="108"/>
      <c r="B35" s="95" t="s">
        <v>55</v>
      </c>
      <c r="C35" s="32" t="s">
        <v>62</v>
      </c>
    </row>
    <row r="36" spans="1:3" ht="18" customHeight="1" x14ac:dyDescent="0.25">
      <c r="A36" s="108"/>
      <c r="B36" s="95" t="s">
        <v>54</v>
      </c>
      <c r="C36" s="32" t="s">
        <v>63</v>
      </c>
    </row>
    <row r="37" spans="1:3" ht="18" customHeight="1" x14ac:dyDescent="0.25">
      <c r="A37" s="108"/>
      <c r="B37" s="95" t="s">
        <v>167</v>
      </c>
      <c r="C37" s="32" t="s">
        <v>168</v>
      </c>
    </row>
    <row r="38" spans="1:3" ht="18" customHeight="1" x14ac:dyDescent="0.25">
      <c r="A38" s="108"/>
      <c r="B38" s="95" t="s">
        <v>53</v>
      </c>
      <c r="C38" s="32" t="s">
        <v>64</v>
      </c>
    </row>
    <row r="39" spans="1:3" ht="18" customHeight="1" x14ac:dyDescent="0.25">
      <c r="A39" s="108"/>
      <c r="B39" s="95" t="s">
        <v>169</v>
      </c>
      <c r="C39" s="32" t="s">
        <v>170</v>
      </c>
    </row>
    <row r="40" spans="1:3" ht="18" customHeight="1" x14ac:dyDescent="0.25">
      <c r="A40" s="108"/>
      <c r="B40" s="95" t="s">
        <v>171</v>
      </c>
      <c r="C40" s="32" t="s">
        <v>172</v>
      </c>
    </row>
    <row r="41" spans="1:3" ht="18.75" customHeight="1" x14ac:dyDescent="0.25">
      <c r="A41" s="108"/>
      <c r="B41" s="95" t="s">
        <v>173</v>
      </c>
      <c r="C41" s="32" t="s">
        <v>174</v>
      </c>
    </row>
    <row r="42" spans="1:3" ht="18.75" customHeight="1" thickBot="1" x14ac:dyDescent="0.3">
      <c r="A42" s="109"/>
      <c r="B42" s="96" t="s">
        <v>175</v>
      </c>
      <c r="C42" s="33" t="s">
        <v>176</v>
      </c>
    </row>
  </sheetData>
  <mergeCells count="5">
    <mergeCell ref="A2:A4"/>
    <mergeCell ref="B7:B16"/>
    <mergeCell ref="B17:B21"/>
    <mergeCell ref="A6:A26"/>
    <mergeCell ref="A28:A4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021D4-AF56-4E8B-B053-6180A3E63BBF}">
  <sheetPr codeName="Sheet7"/>
  <dimension ref="A1:L14"/>
  <sheetViews>
    <sheetView workbookViewId="0"/>
  </sheetViews>
  <sheetFormatPr defaultRowHeight="15.95" customHeight="1" x14ac:dyDescent="0.25"/>
  <cols>
    <col min="1" max="2" width="15.140625" bestFit="1" customWidth="1"/>
    <col min="3" max="3" width="31.5703125" customWidth="1"/>
    <col min="4" max="4" width="11.28515625" bestFit="1" customWidth="1"/>
    <col min="5" max="5" width="7.85546875" bestFit="1" customWidth="1"/>
    <col min="6" max="6" width="17.140625" customWidth="1"/>
    <col min="7" max="7" width="11" customWidth="1"/>
    <col min="8" max="8" width="13" style="8" customWidth="1"/>
    <col min="9" max="9" width="73.42578125" customWidth="1"/>
    <col min="10" max="10" width="8.85546875" bestFit="1" customWidth="1"/>
    <col min="11" max="11" width="13.140625" customWidth="1"/>
    <col min="12" max="12" width="12.7109375" customWidth="1"/>
  </cols>
  <sheetData>
    <row r="1" spans="1:12" ht="15.95" customHeight="1" x14ac:dyDescent="0.25">
      <c r="A1" s="14" t="s">
        <v>23</v>
      </c>
      <c r="B1" s="14"/>
      <c r="C1" s="23" t="s">
        <v>41</v>
      </c>
    </row>
    <row r="2" spans="1:12" ht="15.95" customHeight="1" x14ac:dyDescent="0.25">
      <c r="A2" s="14" t="s">
        <v>28</v>
      </c>
      <c r="B2" s="14"/>
      <c r="C2" s="23" t="s">
        <v>42</v>
      </c>
    </row>
    <row r="3" spans="1:12" ht="15.95" customHeight="1" x14ac:dyDescent="0.25">
      <c r="A3" s="14" t="s">
        <v>32</v>
      </c>
      <c r="B3" s="14"/>
      <c r="C3" s="110" t="s">
        <v>43</v>
      </c>
    </row>
    <row r="4" spans="1:12" ht="15.95" customHeight="1" x14ac:dyDescent="0.25">
      <c r="A4" s="14" t="s">
        <v>33</v>
      </c>
      <c r="B4" s="14"/>
      <c r="C4" s="110"/>
    </row>
    <row r="5" spans="1:12" ht="15.95" customHeight="1" x14ac:dyDescent="0.25">
      <c r="A5" s="14" t="s">
        <v>162</v>
      </c>
      <c r="B5" s="14"/>
      <c r="C5" s="110"/>
    </row>
    <row r="6" spans="1:12" ht="15.95" customHeight="1" x14ac:dyDescent="0.25">
      <c r="A6" s="14" t="s">
        <v>182</v>
      </c>
      <c r="B6" s="14"/>
      <c r="C6" s="110"/>
    </row>
    <row r="7" spans="1:12" ht="15.95" customHeight="1" x14ac:dyDescent="0.25">
      <c r="A7" s="14" t="s">
        <v>183</v>
      </c>
      <c r="B7" s="14"/>
      <c r="C7" s="110"/>
    </row>
    <row r="8" spans="1:12" ht="15.95" customHeight="1" x14ac:dyDescent="0.25">
      <c r="A8" s="14" t="s">
        <v>184</v>
      </c>
      <c r="B8" s="14"/>
      <c r="C8" s="110"/>
    </row>
    <row r="9" spans="1:12" ht="15.95" customHeight="1" x14ac:dyDescent="0.25">
      <c r="A9" s="14" t="s">
        <v>185</v>
      </c>
      <c r="B9" s="14"/>
      <c r="C9" s="110"/>
    </row>
    <row r="10" spans="1:12" ht="15.95" customHeight="1" x14ac:dyDescent="0.25">
      <c r="A10" s="14" t="s">
        <v>186</v>
      </c>
      <c r="B10" s="14"/>
      <c r="C10" s="110"/>
    </row>
    <row r="11" spans="1:12" ht="15.95" customHeight="1" x14ac:dyDescent="0.25">
      <c r="A11" s="14" t="s">
        <v>34</v>
      </c>
      <c r="B11" s="14"/>
      <c r="C11" s="110"/>
      <c r="H11"/>
    </row>
    <row r="12" spans="1:12" ht="15.95" customHeight="1" x14ac:dyDescent="0.25">
      <c r="A12" s="14" t="s">
        <v>38</v>
      </c>
      <c r="B12" s="14"/>
      <c r="C12" s="23" t="s">
        <v>44</v>
      </c>
      <c r="H12"/>
    </row>
    <row r="13" spans="1:12" ht="15.95" customHeight="1" x14ac:dyDescent="0.25">
      <c r="A13" s="9" t="s">
        <v>35</v>
      </c>
      <c r="B13" s="10" t="s">
        <v>2</v>
      </c>
      <c r="C13" s="10" t="s">
        <v>7</v>
      </c>
      <c r="D13" s="10" t="s">
        <v>1</v>
      </c>
      <c r="E13" s="10" t="s">
        <v>181</v>
      </c>
      <c r="F13" s="10" t="s">
        <v>32</v>
      </c>
      <c r="G13" s="10" t="s">
        <v>28</v>
      </c>
      <c r="H13" s="10" t="s">
        <v>6</v>
      </c>
      <c r="I13" s="10" t="s">
        <v>25</v>
      </c>
      <c r="J13" s="10" t="s">
        <v>33</v>
      </c>
      <c r="K13" s="10" t="s">
        <v>162</v>
      </c>
      <c r="L13" s="11" t="s">
        <v>3</v>
      </c>
    </row>
    <row r="14" spans="1:12" ht="15.95" customHeight="1" x14ac:dyDescent="0.25">
      <c r="A14" s="12"/>
      <c r="B14" s="12"/>
      <c r="C14" s="13"/>
      <c r="D14" s="58"/>
      <c r="E14" s="12"/>
      <c r="F14" s="12"/>
      <c r="G14" s="12"/>
      <c r="H14" s="12"/>
      <c r="I14" s="59"/>
      <c r="J14" s="12"/>
      <c r="K14" s="12"/>
      <c r="L14" s="55"/>
    </row>
  </sheetData>
  <mergeCells count="1">
    <mergeCell ref="C3:C11"/>
  </mergeCells>
  <dataValidations count="6">
    <dataValidation type="list" allowBlank="1" showInputMessage="1" showErrorMessage="1" sqref="B14" xr:uid="{9BB97132-9892-44B5-B449-AC3CFC2AAC19}">
      <formula1>INDIRECT("JiraIssueTypeIDs[Issue Type]")</formula1>
    </dataValidation>
    <dataValidation type="list" allowBlank="1" showInputMessage="1" sqref="F14 B3" xr:uid="{4773A4AB-65DC-4043-9306-5E730EB18577}">
      <formula1>INDIRECT("VsdiFixVersionIds[VSDI Fix Version]")</formula1>
    </dataValidation>
    <dataValidation type="list" allowBlank="1" showInputMessage="1" showErrorMessage="1" sqref="H14" xr:uid="{31D959F1-9396-4F7E-97AC-5C74D039E567}">
      <formula1>INDIRECT("JiraPriorityIds[Priority]")</formula1>
    </dataValidation>
    <dataValidation type="list" allowBlank="1" showInputMessage="1" sqref="K14 B5" xr:uid="{9CB6B1FB-D176-429D-8D31-4F12459D595F}">
      <formula1>INDIRECT("VsdiPlatforms[Platform Name]")</formula1>
    </dataValidation>
    <dataValidation type="list" allowBlank="1" showInputMessage="1" sqref="E14" xr:uid="{94FF7A1A-34C5-490B-8498-9ED5D46EF11C}">
      <formula1>INDIRECT("VsdiFlags[Flags]")</formula1>
    </dataValidation>
    <dataValidation type="list" allowBlank="1" showInputMessage="1" showErrorMessage="1" sqref="D14" xr:uid="{69FE5344-CB7F-428C-8ABC-B2E461FE157D}">
      <formula1>INDIRECT("VsriUsers[IDSID]")</formula1>
    </dataValidation>
  </dataValidation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F45EB-4652-467D-B278-2C005A93474E}">
  <sheetPr codeName="Sheet2"/>
  <dimension ref="A1:X9"/>
  <sheetViews>
    <sheetView zoomScaleNormal="100" workbookViewId="0">
      <pane ySplit="8" topLeftCell="A9" activePane="bottomLeft" state="frozen"/>
      <selection pane="bottomLeft" activeCell="C7" sqref="C7"/>
    </sheetView>
  </sheetViews>
  <sheetFormatPr defaultRowHeight="15" x14ac:dyDescent="0.25"/>
  <cols>
    <col min="1" max="3" width="10.7109375" style="80" customWidth="1"/>
    <col min="4" max="4" width="60.7109375" style="17" customWidth="1"/>
    <col min="5" max="8" width="10.7109375" style="80" customWidth="1"/>
    <col min="9" max="9" width="20.7109375" style="80" customWidth="1"/>
    <col min="10" max="13" width="10.7109375" style="80" customWidth="1"/>
    <col min="14" max="19" width="10.7109375" style="17" customWidth="1"/>
    <col min="20" max="20" width="60.7109375" style="17" customWidth="1"/>
    <col min="21" max="21" width="10.7109375" style="17" customWidth="1"/>
    <col min="22" max="22" width="17.7109375" style="17" customWidth="1"/>
    <col min="23" max="23" width="20.7109375" style="17" customWidth="1"/>
    <col min="24" max="24" width="10.7109375" style="17" customWidth="1"/>
    <col min="25" max="16384" width="9.140625" style="17"/>
  </cols>
  <sheetData>
    <row r="1" spans="1:24" ht="15" customHeight="1" x14ac:dyDescent="0.25">
      <c r="A1" s="79" t="s">
        <v>37</v>
      </c>
      <c r="B1" s="79"/>
      <c r="D1" s="81"/>
      <c r="E1" s="82"/>
      <c r="F1" s="82"/>
      <c r="G1" s="83"/>
      <c r="Q1" s="19"/>
    </row>
    <row r="2" spans="1:24" ht="15" customHeight="1" x14ac:dyDescent="0.25">
      <c r="A2" s="84" t="s">
        <v>29</v>
      </c>
      <c r="B2" s="85"/>
      <c r="C2" s="86"/>
      <c r="D2" s="87" t="s">
        <v>66</v>
      </c>
      <c r="E2" s="88" t="str">
        <f>IFERROR(VLOOKUP($D$2,IDs!AM:AN,2,FALSE), "Enter full name in drop down to get User ID")</f>
        <v>Enter full name in drop down to get User ID</v>
      </c>
      <c r="I2" s="92"/>
      <c r="J2" s="92"/>
      <c r="Q2" s="19"/>
    </row>
    <row r="3" spans="1:24" ht="15" customHeight="1" x14ac:dyDescent="0.25">
      <c r="A3" s="84" t="s">
        <v>1</v>
      </c>
      <c r="B3" s="85"/>
      <c r="O3" s="93"/>
      <c r="Q3" s="19"/>
    </row>
    <row r="4" spans="1:24" ht="15" customHeight="1" x14ac:dyDescent="0.25">
      <c r="A4" s="84" t="s">
        <v>27</v>
      </c>
      <c r="B4" s="85"/>
      <c r="Q4" s="19"/>
      <c r="R4" s="93"/>
    </row>
    <row r="5" spans="1:24" ht="15" customHeight="1" x14ac:dyDescent="0.25">
      <c r="A5" s="84" t="s">
        <v>28</v>
      </c>
      <c r="B5" s="85"/>
      <c r="C5" s="20"/>
      <c r="D5" s="20"/>
      <c r="E5" s="20"/>
      <c r="F5" s="20"/>
      <c r="G5" s="20"/>
      <c r="H5" s="20"/>
      <c r="I5" s="78"/>
      <c r="J5" s="20"/>
      <c r="K5" s="20"/>
      <c r="L5" s="20"/>
      <c r="M5" s="20"/>
      <c r="N5" s="20"/>
      <c r="O5" s="20"/>
      <c r="P5" s="20"/>
      <c r="Q5" s="20"/>
    </row>
    <row r="6" spans="1:24" ht="15" customHeight="1" x14ac:dyDescent="0.25">
      <c r="A6" s="84" t="s">
        <v>36</v>
      </c>
      <c r="B6" s="85"/>
      <c r="C6" s="20"/>
      <c r="D6" s="89" t="s">
        <v>155</v>
      </c>
      <c r="E6" s="20"/>
      <c r="F6" s="20"/>
      <c r="G6" s="20"/>
      <c r="H6" s="20"/>
      <c r="I6" s="78"/>
      <c r="J6" s="20"/>
      <c r="K6" s="20"/>
      <c r="L6" s="20"/>
      <c r="M6" s="20"/>
      <c r="N6" s="20"/>
      <c r="O6" s="20"/>
      <c r="P6" s="20"/>
      <c r="Q6" s="20"/>
    </row>
    <row r="7" spans="1:24" ht="15" customHeight="1" x14ac:dyDescent="0.25">
      <c r="A7" s="84" t="s">
        <v>31</v>
      </c>
      <c r="B7" s="90"/>
      <c r="C7" s="91">
        <f>SUBTOTAL(3, A:A)-8</f>
        <v>0</v>
      </c>
      <c r="D7" s="89"/>
      <c r="E7" s="20"/>
      <c r="F7" s="20"/>
      <c r="G7" s="20"/>
      <c r="H7" s="20"/>
      <c r="I7" s="78"/>
      <c r="J7" s="20"/>
      <c r="K7" s="20"/>
      <c r="L7" s="20"/>
      <c r="M7" s="20"/>
      <c r="N7" s="20"/>
      <c r="O7" s="20"/>
      <c r="P7" s="20"/>
      <c r="Q7" s="20"/>
    </row>
    <row r="8" spans="1:24" ht="26.25" customHeight="1" x14ac:dyDescent="0.25">
      <c r="A8" s="21" t="s">
        <v>0</v>
      </c>
      <c r="B8" s="22" t="s">
        <v>2</v>
      </c>
      <c r="C8" s="22" t="s">
        <v>10</v>
      </c>
      <c r="D8" s="15" t="s">
        <v>7</v>
      </c>
      <c r="E8" s="22" t="s">
        <v>1</v>
      </c>
      <c r="F8" s="22" t="s">
        <v>19</v>
      </c>
      <c r="G8" s="22" t="s">
        <v>128</v>
      </c>
      <c r="H8" s="22" t="s">
        <v>129</v>
      </c>
      <c r="I8" s="16" t="s">
        <v>120</v>
      </c>
      <c r="J8" s="16" t="s">
        <v>6</v>
      </c>
      <c r="K8" s="16" t="s">
        <v>163</v>
      </c>
      <c r="L8" s="60" t="s">
        <v>3</v>
      </c>
      <c r="M8" s="60" t="s">
        <v>4</v>
      </c>
      <c r="N8" s="16" t="s">
        <v>5</v>
      </c>
      <c r="O8" s="15" t="s">
        <v>162</v>
      </c>
      <c r="P8" s="15" t="s">
        <v>13</v>
      </c>
      <c r="Q8" s="15" t="s">
        <v>24</v>
      </c>
      <c r="R8" s="61" t="s">
        <v>20</v>
      </c>
      <c r="S8" s="62" t="s">
        <v>21</v>
      </c>
      <c r="T8" s="62" t="s">
        <v>14</v>
      </c>
      <c r="U8" s="68" t="s">
        <v>133</v>
      </c>
      <c r="V8" s="66" t="s">
        <v>45</v>
      </c>
      <c r="W8" s="62" t="s">
        <v>46</v>
      </c>
      <c r="X8" s="67" t="s">
        <v>134</v>
      </c>
    </row>
    <row r="9" spans="1:24" x14ac:dyDescent="0.25">
      <c r="A9" s="17"/>
      <c r="B9" s="17"/>
      <c r="C9" s="17"/>
      <c r="E9" s="17"/>
      <c r="F9" s="17"/>
      <c r="G9" s="17"/>
      <c r="H9" s="17"/>
      <c r="I9" s="17"/>
      <c r="J9" s="17"/>
      <c r="K9" s="17"/>
      <c r="L9" s="63"/>
      <c r="M9" s="63"/>
      <c r="N9" s="63"/>
      <c r="U9" s="69"/>
      <c r="X9" s="63"/>
    </row>
  </sheetData>
  <dataConsolidate/>
  <dataValidations count="11">
    <dataValidation type="list" allowBlank="1" showInputMessage="1" showErrorMessage="1" sqref="B3 E9" xr:uid="{1D159FF9-A8B2-444B-8BB0-E3872E6D1305}">
      <formula1>INDIRECT("VsriUsers[IDSID]")</formula1>
    </dataValidation>
    <dataValidation type="list" allowBlank="1" showInputMessage="1" showErrorMessage="1" sqref="B9" xr:uid="{D853C362-19C9-414C-AB14-A65665D5F920}">
      <formula1>INDIRECT("JiraIssueTypeIDs[Issue Type]")</formula1>
    </dataValidation>
    <dataValidation type="list" allowBlank="1" showInputMessage="1" sqref="C9" xr:uid="{0E0D7FED-9ECE-425E-8BFA-38B61B4F327B}">
      <formula1>INDIRECT("JiraStatusIDs[Status]")</formula1>
    </dataValidation>
    <dataValidation type="list" allowBlank="1" showInputMessage="1" sqref="I9" xr:uid="{80F7CD32-9808-470B-87E5-868F79E824E6}">
      <formula1>INDIRECT("VsdiFixVersionIds[VSDI Fix Version]")</formula1>
    </dataValidation>
    <dataValidation type="list" allowBlank="1" showInputMessage="1" showErrorMessage="1" sqref="J9" xr:uid="{E665B150-7663-492F-81B5-025C7938B26C}">
      <formula1>INDIRECT("JiraPriorityIds[Priority]")</formula1>
    </dataValidation>
    <dataValidation type="list" allowBlank="1" showInputMessage="1" sqref="K9" xr:uid="{A40FE8EF-D521-4160-BE40-FE9D07FB1BF6}">
      <formula1>INDIRECT("VsdiOSes[OS Name]")</formula1>
    </dataValidation>
    <dataValidation type="list" allowBlank="1" showInputMessage="1" sqref="O9" xr:uid="{6AE21F98-E54A-4F2C-8E1A-0B3CCD0048A8}">
      <formula1>INDIRECT("VsdiPlatforms[Platform Name]")</formula1>
    </dataValidation>
    <dataValidation type="list" allowBlank="1" showInputMessage="1" sqref="P9" xr:uid="{464318F9-3192-49E5-AE5F-2C71B33F44B5}">
      <formula1>INDIRECT("VsdiComponents[Component Name]")</formula1>
    </dataValidation>
    <dataValidation type="list" allowBlank="1" showInputMessage="1" showErrorMessage="1" sqref="V9" xr:uid="{9326DE13-20D6-4630-B9C3-330BFC4BDF72}">
      <formula1>"On Track, Ahead of Commit, Missing Commit, Unknown, No Effort Pending,  Non-open Entry"</formula1>
    </dataValidation>
    <dataValidation type="list" allowBlank="1" showInputMessage="1" showErrorMessage="1" sqref="W9" xr:uid="{00C1A0B8-41E4-42C9-84A3-26DE58439E13}">
      <formula1>"Right Estimate, Aggressive Estimate, Conservative Estimate"</formula1>
    </dataValidation>
    <dataValidation type="list" allowBlank="1" showInputMessage="1" sqref="B2" xr:uid="{DD533F96-385C-43AD-BAF6-ED5B81713DA3}">
      <formula1>INDIRECT("FavouriteFilters[Filter Name]")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60" r:id="rId4" name="IdsidSearch">
          <controlPr defaultSize="0" autoLine="0" linkedCell="Query_Update!D2" listFillRange="IDSID_Search" r:id="rId5">
            <anchor moveWithCells="1">
              <from>
                <xdr:col>3</xdr:col>
                <xdr:colOff>9525</xdr:colOff>
                <xdr:row>0</xdr:row>
                <xdr:rowOff>180975</xdr:rowOff>
              </from>
              <to>
                <xdr:col>4</xdr:col>
                <xdr:colOff>38100</xdr:colOff>
                <xdr:row>2</xdr:row>
                <xdr:rowOff>28575</xdr:rowOff>
              </to>
            </anchor>
          </controlPr>
        </control>
      </mc:Choice>
      <mc:Fallback>
        <control shapeId="1060" r:id="rId4" name="IdsidSearch"/>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00000000-000E-0000-0200-000001000000}">
            <xm:f>AND(VLOOKUP($I1,IDs!$J:$M,4,FALSE)&lt;&gt;"",$N1&gt;=VLOOKUP($I1,IDs!$J:$M,4,FALSE)-7*2, $V1&lt;&gt;"Non-open Entry")</xm:f>
            <x14:dxf>
              <fill>
                <patternFill>
                  <bgColor rgb="FFFF0000"/>
                </patternFill>
              </fill>
            </x14:dxf>
          </x14:cfRule>
          <xm:sqref>D1:D1048576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201A3-443F-4CB4-8815-8C069D2F6EFD}">
  <sheetPr codeName="Sheet11"/>
  <dimension ref="A1:J15"/>
  <sheetViews>
    <sheetView workbookViewId="0">
      <selection activeCell="C37" sqref="C37"/>
    </sheetView>
  </sheetViews>
  <sheetFormatPr defaultRowHeight="15" x14ac:dyDescent="0.25"/>
  <cols>
    <col min="1" max="1" width="16.85546875" bestFit="1" customWidth="1"/>
    <col min="2" max="2" width="15.42578125" bestFit="1" customWidth="1"/>
    <col min="3" max="3" width="16.85546875" bestFit="1" customWidth="1"/>
    <col min="4" max="4" width="15.140625" bestFit="1" customWidth="1"/>
    <col min="5" max="7" width="11.28515625" bestFit="1" customWidth="1"/>
    <col min="9" max="9" width="22.28515625" bestFit="1" customWidth="1"/>
    <col min="10" max="11" width="10.85546875" bestFit="1" customWidth="1"/>
    <col min="12" max="12" width="15.42578125" bestFit="1" customWidth="1"/>
    <col min="13" max="13" width="16.85546875" bestFit="1" customWidth="1"/>
    <col min="14" max="14" width="9.5703125" bestFit="1" customWidth="1"/>
    <col min="15" max="15" width="11.28515625" bestFit="1" customWidth="1"/>
  </cols>
  <sheetData>
    <row r="1" spans="1:10" x14ac:dyDescent="0.25">
      <c r="A1" s="70" t="s">
        <v>138</v>
      </c>
      <c r="B1" s="70" t="s">
        <v>6</v>
      </c>
      <c r="I1" s="70" t="s">
        <v>140</v>
      </c>
      <c r="J1" t="s">
        <v>138</v>
      </c>
    </row>
    <row r="2" spans="1:10" x14ac:dyDescent="0.25">
      <c r="A2" s="70" t="s">
        <v>45</v>
      </c>
      <c r="B2" t="s">
        <v>166</v>
      </c>
      <c r="C2" t="s">
        <v>139</v>
      </c>
      <c r="I2" s="71" t="s">
        <v>139</v>
      </c>
      <c r="J2" s="24"/>
    </row>
    <row r="3" spans="1:10" x14ac:dyDescent="0.25">
      <c r="A3" s="71" t="s">
        <v>166</v>
      </c>
      <c r="B3" s="24"/>
      <c r="C3" s="24"/>
    </row>
    <row r="4" spans="1:10" x14ac:dyDescent="0.25">
      <c r="A4" s="71" t="s">
        <v>139</v>
      </c>
      <c r="B4" s="24"/>
      <c r="C4" s="24"/>
    </row>
    <row r="12" spans="1:10" x14ac:dyDescent="0.25">
      <c r="A12" s="70" t="s">
        <v>138</v>
      </c>
      <c r="B12" s="70" t="s">
        <v>2</v>
      </c>
      <c r="J12" s="70"/>
    </row>
    <row r="13" spans="1:10" x14ac:dyDescent="0.25">
      <c r="A13" s="70" t="s">
        <v>10</v>
      </c>
      <c r="B13" t="s">
        <v>166</v>
      </c>
      <c r="C13" t="s">
        <v>139</v>
      </c>
    </row>
    <row r="14" spans="1:10" x14ac:dyDescent="0.25">
      <c r="A14" s="71" t="s">
        <v>166</v>
      </c>
      <c r="B14" s="24"/>
      <c r="C14" s="24"/>
    </row>
    <row r="15" spans="1:10" x14ac:dyDescent="0.25">
      <c r="A15" s="71" t="s">
        <v>139</v>
      </c>
      <c r="B15" s="24"/>
      <c r="C15" s="24"/>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C69C8-A01F-40DE-8F2F-81178639A8C5}">
  <sheetPr codeName="Sheet10"/>
  <dimension ref="A1:C13"/>
  <sheetViews>
    <sheetView workbookViewId="0">
      <selection activeCell="C3" sqref="C3"/>
    </sheetView>
  </sheetViews>
  <sheetFormatPr defaultRowHeight="15" x14ac:dyDescent="0.25"/>
  <cols>
    <col min="1" max="1" width="27.42578125" bestFit="1" customWidth="1"/>
    <col min="3" max="3" width="27.42578125" bestFit="1" customWidth="1"/>
  </cols>
  <sheetData>
    <row r="1" spans="1:3" x14ac:dyDescent="0.25">
      <c r="A1" s="7" t="s">
        <v>147</v>
      </c>
      <c r="C1" s="7" t="s">
        <v>149</v>
      </c>
    </row>
    <row r="2" spans="1:3" x14ac:dyDescent="0.25">
      <c r="A2" s="56">
        <v>43466</v>
      </c>
      <c r="C2" s="56">
        <v>42736</v>
      </c>
    </row>
    <row r="3" spans="1:3" x14ac:dyDescent="0.25">
      <c r="A3" s="56">
        <v>43480</v>
      </c>
      <c r="C3" s="56">
        <v>43121</v>
      </c>
    </row>
    <row r="4" spans="1:3" x14ac:dyDescent="0.25">
      <c r="A4" s="56">
        <v>43574</v>
      </c>
      <c r="C4" s="56">
        <v>43149</v>
      </c>
    </row>
    <row r="5" spans="1:3" x14ac:dyDescent="0.25">
      <c r="A5" s="56">
        <v>43586</v>
      </c>
      <c r="C5" s="56">
        <v>43247</v>
      </c>
    </row>
    <row r="6" spans="1:3" x14ac:dyDescent="0.25">
      <c r="A6" s="56">
        <v>43621</v>
      </c>
      <c r="C6" s="56">
        <v>43285</v>
      </c>
    </row>
    <row r="7" spans="1:3" x14ac:dyDescent="0.25">
      <c r="A7" s="56">
        <v>43692</v>
      </c>
      <c r="C7" s="56">
        <v>43286</v>
      </c>
    </row>
    <row r="8" spans="1:3" x14ac:dyDescent="0.25">
      <c r="A8" s="56">
        <v>43710</v>
      </c>
      <c r="C8" s="56">
        <v>43345</v>
      </c>
    </row>
    <row r="9" spans="1:3" x14ac:dyDescent="0.25">
      <c r="A9" s="56">
        <v>43740</v>
      </c>
      <c r="C9" s="56">
        <v>43432</v>
      </c>
    </row>
    <row r="10" spans="1:3" x14ac:dyDescent="0.25">
      <c r="A10" s="56">
        <v>43746</v>
      </c>
      <c r="C10" s="56">
        <v>43433</v>
      </c>
    </row>
    <row r="11" spans="1:3" x14ac:dyDescent="0.25">
      <c r="A11" s="56">
        <v>43766</v>
      </c>
      <c r="C11" s="56">
        <v>43459</v>
      </c>
    </row>
    <row r="12" spans="1:3" x14ac:dyDescent="0.25">
      <c r="A12" s="56">
        <v>43770</v>
      </c>
    </row>
    <row r="13" spans="1:3" x14ac:dyDescent="0.25">
      <c r="A13" s="56">
        <v>43824</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66076-451A-4E7E-9F97-40BEF113A1F2}">
  <sheetPr codeName="Sheet8"/>
  <dimension ref="A1:F14"/>
  <sheetViews>
    <sheetView workbookViewId="0">
      <selection activeCell="C11" sqref="C11"/>
    </sheetView>
  </sheetViews>
  <sheetFormatPr defaultRowHeight="15" x14ac:dyDescent="0.25"/>
  <cols>
    <col min="1" max="1" width="10.7109375" style="6" customWidth="1"/>
    <col min="2" max="2" width="12.7109375" style="6" customWidth="1"/>
    <col min="3" max="3" width="80.7109375" style="6" customWidth="1"/>
    <col min="4" max="4" width="10.7109375" style="6" customWidth="1"/>
    <col min="5" max="5" width="15.7109375" style="6" customWidth="1"/>
    <col min="6" max="6" width="80.7109375" style="6" customWidth="1"/>
    <col min="7" max="16384" width="9.140625" style="6"/>
  </cols>
  <sheetData>
    <row r="1" spans="1:6" x14ac:dyDescent="0.25">
      <c r="A1" s="6" t="s">
        <v>0</v>
      </c>
      <c r="B1" s="6" t="s">
        <v>108</v>
      </c>
      <c r="C1" s="6" t="s">
        <v>25</v>
      </c>
      <c r="D1" s="6" t="s">
        <v>10</v>
      </c>
      <c r="E1" s="6" t="s">
        <v>109</v>
      </c>
      <c r="F1" s="6" t="s">
        <v>110</v>
      </c>
    </row>
    <row r="2" spans="1:6" x14ac:dyDescent="0.25">
      <c r="A2" s="7">
        <v>1</v>
      </c>
      <c r="B2" s="56">
        <v>43444</v>
      </c>
      <c r="C2" s="6" t="s">
        <v>146</v>
      </c>
      <c r="D2" s="7" t="s">
        <v>30</v>
      </c>
      <c r="E2" s="7" t="s">
        <v>111</v>
      </c>
    </row>
    <row r="3" spans="1:6" x14ac:dyDescent="0.25">
      <c r="A3" s="7">
        <v>2</v>
      </c>
      <c r="B3" s="56">
        <v>43444</v>
      </c>
      <c r="C3" s="6" t="s">
        <v>145</v>
      </c>
      <c r="D3" s="7" t="s">
        <v>30</v>
      </c>
      <c r="E3" s="7" t="s">
        <v>111</v>
      </c>
    </row>
    <row r="4" spans="1:6" ht="75" x14ac:dyDescent="0.25">
      <c r="A4" s="7">
        <v>3</v>
      </c>
      <c r="B4" s="56">
        <v>43444</v>
      </c>
      <c r="C4" s="6" t="s">
        <v>144</v>
      </c>
      <c r="D4" s="7" t="s">
        <v>30</v>
      </c>
      <c r="E4" s="7" t="s">
        <v>8</v>
      </c>
      <c r="F4" s="57" t="s">
        <v>117</v>
      </c>
    </row>
    <row r="5" spans="1:6" x14ac:dyDescent="0.25">
      <c r="A5" s="7">
        <v>4</v>
      </c>
      <c r="B5" s="56">
        <v>43447</v>
      </c>
      <c r="C5" s="6" t="s">
        <v>119</v>
      </c>
      <c r="D5" s="7" t="s">
        <v>30</v>
      </c>
      <c r="E5" s="7" t="s">
        <v>8</v>
      </c>
    </row>
    <row r="6" spans="1:6" x14ac:dyDescent="0.25">
      <c r="A6" s="7">
        <v>5</v>
      </c>
      <c r="B6" s="56">
        <v>43473</v>
      </c>
      <c r="C6" s="6" t="s">
        <v>125</v>
      </c>
      <c r="D6" s="7" t="s">
        <v>30</v>
      </c>
      <c r="E6" s="7" t="s">
        <v>111</v>
      </c>
    </row>
    <row r="7" spans="1:6" x14ac:dyDescent="0.25">
      <c r="A7" s="7">
        <v>6</v>
      </c>
      <c r="B7" s="56">
        <v>43473</v>
      </c>
      <c r="C7" s="6" t="s">
        <v>126</v>
      </c>
      <c r="D7" s="7" t="s">
        <v>30</v>
      </c>
      <c r="E7" s="7" t="s">
        <v>111</v>
      </c>
      <c r="F7" s="6" t="s">
        <v>127</v>
      </c>
    </row>
    <row r="8" spans="1:6" x14ac:dyDescent="0.25">
      <c r="A8" s="7">
        <v>7</v>
      </c>
      <c r="B8" s="56">
        <v>43482</v>
      </c>
      <c r="C8" s="6" t="s">
        <v>143</v>
      </c>
      <c r="D8" s="7" t="s">
        <v>30</v>
      </c>
      <c r="E8" s="7" t="s">
        <v>8</v>
      </c>
      <c r="F8" s="6" t="s">
        <v>130</v>
      </c>
    </row>
    <row r="9" spans="1:6" x14ac:dyDescent="0.25">
      <c r="A9" s="7">
        <v>8</v>
      </c>
      <c r="B9" s="56">
        <v>43482</v>
      </c>
      <c r="C9" s="6" t="s">
        <v>136</v>
      </c>
      <c r="D9" s="7" t="s">
        <v>30</v>
      </c>
      <c r="E9" s="7" t="s">
        <v>111</v>
      </c>
      <c r="F9" s="6" t="s">
        <v>131</v>
      </c>
    </row>
    <row r="10" spans="1:6" x14ac:dyDescent="0.25">
      <c r="A10" s="7">
        <v>9</v>
      </c>
      <c r="B10" s="56">
        <v>43482</v>
      </c>
      <c r="C10" s="6" t="s">
        <v>142</v>
      </c>
      <c r="D10" s="7" t="s">
        <v>30</v>
      </c>
      <c r="E10" s="7" t="s">
        <v>111</v>
      </c>
      <c r="F10" s="6" t="s">
        <v>132</v>
      </c>
    </row>
    <row r="11" spans="1:6" x14ac:dyDescent="0.25">
      <c r="A11" s="7">
        <v>10</v>
      </c>
      <c r="B11" s="56">
        <v>43483</v>
      </c>
      <c r="C11" s="6" t="s">
        <v>135</v>
      </c>
      <c r="D11" s="7" t="s">
        <v>30</v>
      </c>
      <c r="E11" s="7" t="s">
        <v>111</v>
      </c>
      <c r="F11" s="6" t="s">
        <v>137</v>
      </c>
    </row>
    <row r="12" spans="1:6" x14ac:dyDescent="0.25">
      <c r="A12" s="7">
        <v>11</v>
      </c>
      <c r="B12" s="56">
        <v>43483</v>
      </c>
      <c r="C12" s="6" t="s">
        <v>141</v>
      </c>
      <c r="D12" s="7" t="s">
        <v>30</v>
      </c>
      <c r="E12" s="7" t="s">
        <v>111</v>
      </c>
    </row>
    <row r="13" spans="1:6" x14ac:dyDescent="0.25">
      <c r="A13" s="7">
        <v>12</v>
      </c>
      <c r="B13" s="56">
        <v>43485</v>
      </c>
      <c r="C13" s="6" t="s">
        <v>154</v>
      </c>
      <c r="D13" s="7" t="s">
        <v>30</v>
      </c>
      <c r="E13" s="7" t="s">
        <v>8</v>
      </c>
      <c r="F13" s="6" t="s">
        <v>150</v>
      </c>
    </row>
    <row r="14" spans="1:6" x14ac:dyDescent="0.25">
      <c r="A14" s="7">
        <v>13</v>
      </c>
      <c r="B14" s="56">
        <v>43488</v>
      </c>
      <c r="C14" s="6" t="s">
        <v>159</v>
      </c>
      <c r="D14" s="7" t="s">
        <v>30</v>
      </c>
      <c r="E14" s="7" t="s">
        <v>111</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638E-5A2D-4A61-A2FC-2506F0110968}">
  <sheetPr codeName="Sheet9"/>
  <dimension ref="A1:G8"/>
  <sheetViews>
    <sheetView workbookViewId="0"/>
  </sheetViews>
  <sheetFormatPr defaultRowHeight="15" x14ac:dyDescent="0.25"/>
  <cols>
    <col min="1" max="2" width="10.7109375" style="6" customWidth="1"/>
    <col min="3" max="3" width="12.7109375" style="6" customWidth="1"/>
    <col min="4" max="4" width="80.7109375" style="6" customWidth="1"/>
    <col min="5" max="5" width="10.7109375" style="6" customWidth="1"/>
    <col min="6" max="6" width="15.7109375" style="6" customWidth="1"/>
    <col min="7" max="7" width="80.7109375" style="6" customWidth="1"/>
    <col min="8" max="16384" width="9.140625" style="6"/>
  </cols>
  <sheetData>
    <row r="1" spans="1:7" x14ac:dyDescent="0.25">
      <c r="A1" s="6" t="s">
        <v>0</v>
      </c>
      <c r="B1" s="6" t="s">
        <v>118</v>
      </c>
      <c r="C1" s="6" t="s">
        <v>108</v>
      </c>
      <c r="D1" s="6" t="s">
        <v>25</v>
      </c>
      <c r="E1" s="6" t="s">
        <v>10</v>
      </c>
      <c r="F1" s="6" t="s">
        <v>109</v>
      </c>
      <c r="G1" s="6" t="s">
        <v>110</v>
      </c>
    </row>
    <row r="2" spans="1:7" x14ac:dyDescent="0.25">
      <c r="A2" s="7">
        <v>1</v>
      </c>
      <c r="B2" s="7" t="s">
        <v>187</v>
      </c>
      <c r="C2" s="56">
        <v>43444</v>
      </c>
      <c r="D2" s="6" t="s">
        <v>112</v>
      </c>
      <c r="E2" s="7" t="s">
        <v>30</v>
      </c>
      <c r="F2" s="7" t="s">
        <v>8</v>
      </c>
      <c r="G2" s="6" t="s">
        <v>122</v>
      </c>
    </row>
    <row r="3" spans="1:7" x14ac:dyDescent="0.25">
      <c r="A3" s="7">
        <v>2</v>
      </c>
      <c r="B3" s="7" t="s">
        <v>187</v>
      </c>
      <c r="C3" s="56">
        <v>43432</v>
      </c>
      <c r="D3" s="6" t="s">
        <v>113</v>
      </c>
      <c r="E3" s="7" t="s">
        <v>30</v>
      </c>
      <c r="F3" s="7" t="s">
        <v>9</v>
      </c>
      <c r="G3" s="6" t="s">
        <v>151</v>
      </c>
    </row>
    <row r="4" spans="1:7" x14ac:dyDescent="0.25">
      <c r="A4" s="7">
        <v>3</v>
      </c>
      <c r="B4" s="7" t="s">
        <v>187</v>
      </c>
      <c r="C4" s="56">
        <v>43444</v>
      </c>
      <c r="D4" s="6" t="s">
        <v>114</v>
      </c>
      <c r="E4" s="7" t="s">
        <v>30</v>
      </c>
      <c r="F4" s="7" t="s">
        <v>9</v>
      </c>
      <c r="G4" s="6" t="s">
        <v>152</v>
      </c>
    </row>
    <row r="5" spans="1:7" x14ac:dyDescent="0.25">
      <c r="A5" s="7">
        <v>4</v>
      </c>
      <c r="B5" s="7" t="s">
        <v>187</v>
      </c>
      <c r="C5" s="56">
        <v>43444</v>
      </c>
      <c r="D5" s="6" t="s">
        <v>115</v>
      </c>
      <c r="E5" s="7" t="s">
        <v>30</v>
      </c>
      <c r="F5" s="7" t="s">
        <v>8</v>
      </c>
      <c r="G5" s="6" t="s">
        <v>123</v>
      </c>
    </row>
    <row r="6" spans="1:7" x14ac:dyDescent="0.25">
      <c r="A6" s="7">
        <v>5</v>
      </c>
      <c r="B6" s="7" t="s">
        <v>187</v>
      </c>
      <c r="C6" s="56">
        <v>43444</v>
      </c>
      <c r="D6" s="6" t="s">
        <v>116</v>
      </c>
      <c r="E6" s="7" t="s">
        <v>12</v>
      </c>
      <c r="F6" s="7" t="s">
        <v>9</v>
      </c>
    </row>
    <row r="7" spans="1:7" ht="30" x14ac:dyDescent="0.25">
      <c r="A7" s="7">
        <v>6</v>
      </c>
      <c r="B7" s="7" t="s">
        <v>187</v>
      </c>
      <c r="C7" s="56">
        <v>43451</v>
      </c>
      <c r="D7" s="6" t="s">
        <v>121</v>
      </c>
      <c r="E7" s="7" t="s">
        <v>30</v>
      </c>
      <c r="F7" s="7" t="s">
        <v>8</v>
      </c>
      <c r="G7" s="57" t="s">
        <v>124</v>
      </c>
    </row>
    <row r="8" spans="1:7" x14ac:dyDescent="0.25">
      <c r="A8" s="7">
        <v>7</v>
      </c>
      <c r="B8" s="7" t="s">
        <v>187</v>
      </c>
      <c r="C8" s="56">
        <v>43486</v>
      </c>
      <c r="D8" s="6" t="s">
        <v>153</v>
      </c>
      <c r="E8" s="7" t="s">
        <v>11</v>
      </c>
      <c r="F8" s="7" t="s">
        <v>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4B5CA-F240-48B8-A77A-5FB04FEF0C4E}">
  <sheetPr codeName="Sheet5"/>
  <dimension ref="A1:AT466"/>
  <sheetViews>
    <sheetView zoomScale="80" zoomScaleNormal="80" workbookViewId="0">
      <selection activeCell="AR1" sqref="AR1:AR1048576"/>
    </sheetView>
  </sheetViews>
  <sheetFormatPr defaultRowHeight="15" x14ac:dyDescent="0.25"/>
  <cols>
    <col min="1" max="1" width="12.7109375" style="20" customWidth="1"/>
    <col min="2" max="2" width="11.5703125" style="20" hidden="1" customWidth="1"/>
    <col min="3" max="3" width="3.5703125" style="20" hidden="1" customWidth="1"/>
    <col min="4" max="4" width="13.28515625" style="20" bestFit="1" customWidth="1"/>
    <col min="5" max="5" width="11.5703125" style="20" hidden="1" customWidth="1"/>
    <col min="6" max="6" width="2.7109375" style="20" hidden="1" customWidth="1"/>
    <col min="7" max="7" width="17" style="20" customWidth="1"/>
    <col min="8" max="8" width="11.5703125" style="20" hidden="1" customWidth="1"/>
    <col min="9" max="9" width="1.85546875" style="20" hidden="1" customWidth="1"/>
    <col min="10" max="10" width="21.140625" style="20" customWidth="1"/>
    <col min="11" max="11" width="11.5703125" style="20" hidden="1" customWidth="1"/>
    <col min="12" max="12" width="11.5703125" style="20" customWidth="1"/>
    <col min="13" max="13" width="15.85546875" style="20" bestFit="1" customWidth="1"/>
    <col min="14" max="14" width="2.28515625" style="20" hidden="1" customWidth="1"/>
    <col min="15" max="15" width="19.5703125" style="20" customWidth="1"/>
    <col min="16" max="16" width="8.7109375" style="20" hidden="1" customWidth="1"/>
    <col min="17" max="17" width="2.42578125" style="20" hidden="1" customWidth="1"/>
    <col min="18" max="18" width="11.5703125" style="20" customWidth="1"/>
    <col min="19" max="19" width="13" style="20" hidden="1" customWidth="1"/>
    <col min="20" max="20" width="2.85546875" style="20" hidden="1" customWidth="1"/>
    <col min="21" max="21" width="38.85546875" style="20" customWidth="1"/>
    <col min="22" max="22" width="11.5703125" style="20" customWidth="1"/>
    <col min="23" max="23" width="1.85546875" style="20" hidden="1" customWidth="1"/>
    <col min="24" max="24" width="11.5703125" style="20" customWidth="1"/>
    <col min="25" max="25" width="11.5703125" style="20" hidden="1" customWidth="1"/>
    <col min="26" max="26" width="2.5703125" style="20" hidden="1" customWidth="1"/>
    <col min="27" max="27" width="11.5703125" style="20" customWidth="1"/>
    <col min="28" max="28" width="9.140625" style="20" hidden="1" customWidth="1"/>
    <col min="29" max="29" width="3" style="20" hidden="1" customWidth="1"/>
    <col min="30" max="30" width="11.5703125" style="20" customWidth="1"/>
    <col min="31" max="31" width="11.5703125" style="20" hidden="1" customWidth="1"/>
    <col min="32" max="32" width="3" style="20" hidden="1" customWidth="1"/>
    <col min="33" max="33" width="11.5703125" style="20" customWidth="1"/>
    <col min="34" max="34" width="11.5703125" style="20" hidden="1" customWidth="1"/>
    <col min="35" max="35" width="11.28515625" style="20" hidden="1" customWidth="1"/>
    <col min="36" max="36" width="11.5703125" style="20" customWidth="1"/>
    <col min="37" max="37" width="11.5703125" style="20" hidden="1" customWidth="1"/>
    <col min="38" max="38" width="3.85546875" style="20" hidden="1" customWidth="1"/>
    <col min="39" max="39" width="11.7109375" style="20" customWidth="1"/>
    <col min="40" max="40" width="9.140625" style="20" customWidth="1"/>
    <col min="41" max="41" width="9.7109375" style="20" customWidth="1"/>
    <col min="42" max="42" width="11.5703125" style="20" customWidth="1"/>
    <col min="43" max="43" width="12.7109375" style="20" customWidth="1"/>
    <col min="44" max="44" width="3.140625" style="20" hidden="1" customWidth="1"/>
    <col min="45" max="45" width="11.5703125" style="20" customWidth="1"/>
    <col min="46" max="46" width="11.5703125" style="20" hidden="1" customWidth="1"/>
  </cols>
  <sheetData>
    <row r="1" spans="1:46" ht="15.75" thickBot="1" x14ac:dyDescent="0.3">
      <c r="A1" s="20" t="s">
        <v>2</v>
      </c>
      <c r="B1" s="20" t="s">
        <v>0</v>
      </c>
      <c r="D1" s="20" t="s">
        <v>23</v>
      </c>
      <c r="E1" s="20" t="s">
        <v>0</v>
      </c>
      <c r="G1" s="20" t="s">
        <v>10</v>
      </c>
      <c r="H1" s="20" t="s">
        <v>0</v>
      </c>
      <c r="J1" s="20" t="s">
        <v>164</v>
      </c>
      <c r="K1" s="20" t="s">
        <v>0</v>
      </c>
      <c r="L1" s="20" t="s">
        <v>4</v>
      </c>
      <c r="M1" s="20" t="s">
        <v>22</v>
      </c>
      <c r="O1" s="20" t="s">
        <v>165</v>
      </c>
      <c r="P1" s="20" t="s">
        <v>0</v>
      </c>
      <c r="R1" s="20" t="s">
        <v>156</v>
      </c>
      <c r="S1" s="20" t="s">
        <v>0</v>
      </c>
      <c r="U1" s="20" t="s">
        <v>157</v>
      </c>
      <c r="V1" s="20" t="s">
        <v>0</v>
      </c>
      <c r="X1" s="20" t="s">
        <v>161</v>
      </c>
      <c r="Y1" s="20" t="s">
        <v>0</v>
      </c>
      <c r="AA1" s="20" t="s">
        <v>6</v>
      </c>
      <c r="AB1" s="20" t="s">
        <v>0</v>
      </c>
      <c r="AD1" s="20" t="s">
        <v>158</v>
      </c>
      <c r="AE1" s="20" t="s">
        <v>0</v>
      </c>
      <c r="AG1" s="20" t="s">
        <v>162</v>
      </c>
      <c r="AH1" s="20" t="s">
        <v>0</v>
      </c>
      <c r="AJ1" s="20" t="s">
        <v>163</v>
      </c>
      <c r="AK1" s="20" t="s">
        <v>0</v>
      </c>
      <c r="AM1" s="72" t="s">
        <v>47</v>
      </c>
      <c r="AN1" s="75" t="s">
        <v>48</v>
      </c>
      <c r="AO1" s="75" t="s">
        <v>49</v>
      </c>
      <c r="AP1" s="75" t="s">
        <v>50</v>
      </c>
      <c r="AQ1" s="73" t="s">
        <v>51</v>
      </c>
      <c r="AS1" s="20" t="s">
        <v>18</v>
      </c>
      <c r="AT1" s="20" t="s">
        <v>0</v>
      </c>
    </row>
    <row r="2" spans="1:46" ht="15.75" thickTop="1" x14ac:dyDescent="0.25">
      <c r="L2" s="78"/>
      <c r="M2" s="78"/>
      <c r="AM2" s="74"/>
      <c r="AN2" s="77"/>
      <c r="AO2" s="77"/>
      <c r="AP2" s="77"/>
      <c r="AQ2" s="76"/>
    </row>
    <row r="3" spans="1:46" x14ac:dyDescent="0.25">
      <c r="R3"/>
      <c r="S3"/>
    </row>
    <row r="4" spans="1:46" x14ac:dyDescent="0.25">
      <c r="R4"/>
      <c r="S4"/>
    </row>
    <row r="5" spans="1:46" x14ac:dyDescent="0.25">
      <c r="R5"/>
      <c r="S5"/>
    </row>
    <row r="6" spans="1:46" x14ac:dyDescent="0.25">
      <c r="R6"/>
      <c r="S6"/>
    </row>
    <row r="7" spans="1:46" x14ac:dyDescent="0.25">
      <c r="R7"/>
      <c r="S7"/>
    </row>
    <row r="8" spans="1:46" x14ac:dyDescent="0.25">
      <c r="R8"/>
      <c r="S8"/>
    </row>
    <row r="9" spans="1:46" x14ac:dyDescent="0.25">
      <c r="R9"/>
      <c r="S9"/>
    </row>
    <row r="10" spans="1:46" x14ac:dyDescent="0.25">
      <c r="R10"/>
      <c r="S10"/>
    </row>
    <row r="11" spans="1:46" x14ac:dyDescent="0.25">
      <c r="R11"/>
      <c r="S11"/>
    </row>
    <row r="12" spans="1:46" x14ac:dyDescent="0.25">
      <c r="R12"/>
      <c r="S12"/>
    </row>
    <row r="13" spans="1:46" x14ac:dyDescent="0.25">
      <c r="R13"/>
      <c r="S13"/>
    </row>
    <row r="14" spans="1:46" x14ac:dyDescent="0.25">
      <c r="R14"/>
      <c r="S14"/>
    </row>
    <row r="15" spans="1:46" x14ac:dyDescent="0.25">
      <c r="R15"/>
      <c r="S15"/>
    </row>
    <row r="16" spans="1:46" x14ac:dyDescent="0.25">
      <c r="R16"/>
      <c r="S16"/>
    </row>
    <row r="17" spans="18:19" x14ac:dyDescent="0.25">
      <c r="R17"/>
      <c r="S17"/>
    </row>
    <row r="18" spans="18:19" x14ac:dyDescent="0.25">
      <c r="R18"/>
      <c r="S18"/>
    </row>
    <row r="19" spans="18:19" x14ac:dyDescent="0.25">
      <c r="R19"/>
      <c r="S19"/>
    </row>
    <row r="20" spans="18:19" x14ac:dyDescent="0.25">
      <c r="R20"/>
      <c r="S20"/>
    </row>
    <row r="21" spans="18:19" x14ac:dyDescent="0.25">
      <c r="R21"/>
      <c r="S21"/>
    </row>
    <row r="22" spans="18:19" x14ac:dyDescent="0.25">
      <c r="R22"/>
      <c r="S22"/>
    </row>
    <row r="23" spans="18:19" x14ac:dyDescent="0.25">
      <c r="R23"/>
      <c r="S23"/>
    </row>
    <row r="24" spans="18:19" x14ac:dyDescent="0.25">
      <c r="R24"/>
      <c r="S24"/>
    </row>
    <row r="25" spans="18:19" x14ac:dyDescent="0.25">
      <c r="R25"/>
      <c r="S25"/>
    </row>
    <row r="26" spans="18:19" x14ac:dyDescent="0.25">
      <c r="R26"/>
      <c r="S26"/>
    </row>
    <row r="27" spans="18:19" x14ac:dyDescent="0.25">
      <c r="R27"/>
      <c r="S27"/>
    </row>
    <row r="28" spans="18:19" x14ac:dyDescent="0.25">
      <c r="R28"/>
      <c r="S28"/>
    </row>
    <row r="29" spans="18:19" x14ac:dyDescent="0.25">
      <c r="R29"/>
      <c r="S29"/>
    </row>
    <row r="30" spans="18:19" x14ac:dyDescent="0.25">
      <c r="R30"/>
      <c r="S30"/>
    </row>
    <row r="31" spans="18:19" x14ac:dyDescent="0.25">
      <c r="R31"/>
      <c r="S31"/>
    </row>
    <row r="32" spans="18:19" x14ac:dyDescent="0.25">
      <c r="R32"/>
      <c r="S32"/>
    </row>
    <row r="33" spans="18:19" x14ac:dyDescent="0.25">
      <c r="R33"/>
      <c r="S33"/>
    </row>
    <row r="34" spans="18:19" x14ac:dyDescent="0.25">
      <c r="R34"/>
      <c r="S34"/>
    </row>
    <row r="35" spans="18:19" x14ac:dyDescent="0.25">
      <c r="R35"/>
      <c r="S35"/>
    </row>
    <row r="36" spans="18:19" x14ac:dyDescent="0.25">
      <c r="R36"/>
      <c r="S36"/>
    </row>
    <row r="37" spans="18:19" x14ac:dyDescent="0.25">
      <c r="R37"/>
      <c r="S37"/>
    </row>
    <row r="38" spans="18:19" x14ac:dyDescent="0.25">
      <c r="R38"/>
      <c r="S38"/>
    </row>
    <row r="39" spans="18:19" x14ac:dyDescent="0.25">
      <c r="R39"/>
      <c r="S39"/>
    </row>
    <row r="40" spans="18:19" x14ac:dyDescent="0.25">
      <c r="R40"/>
      <c r="S40"/>
    </row>
    <row r="41" spans="18:19" x14ac:dyDescent="0.25">
      <c r="R41"/>
      <c r="S41"/>
    </row>
    <row r="42" spans="18:19" x14ac:dyDescent="0.25">
      <c r="R42"/>
      <c r="S42"/>
    </row>
    <row r="43" spans="18:19" x14ac:dyDescent="0.25">
      <c r="R43"/>
      <c r="S43"/>
    </row>
    <row r="44" spans="18:19" x14ac:dyDescent="0.25">
      <c r="R44"/>
      <c r="S44"/>
    </row>
    <row r="45" spans="18:19" x14ac:dyDescent="0.25">
      <c r="R45"/>
      <c r="S45"/>
    </row>
    <row r="46" spans="18:19" x14ac:dyDescent="0.25">
      <c r="R46"/>
      <c r="S46"/>
    </row>
    <row r="47" spans="18:19" x14ac:dyDescent="0.25">
      <c r="R47"/>
      <c r="S47"/>
    </row>
    <row r="48" spans="18:19" x14ac:dyDescent="0.25">
      <c r="R48"/>
      <c r="S48"/>
    </row>
    <row r="49" spans="18:19" x14ac:dyDescent="0.25">
      <c r="R49"/>
      <c r="S49"/>
    </row>
    <row r="50" spans="18:19" x14ac:dyDescent="0.25">
      <c r="R50"/>
      <c r="S50"/>
    </row>
    <row r="51" spans="18:19" x14ac:dyDescent="0.25">
      <c r="R51"/>
      <c r="S51"/>
    </row>
    <row r="52" spans="18:19" x14ac:dyDescent="0.25">
      <c r="R52"/>
      <c r="S52"/>
    </row>
    <row r="53" spans="18:19" x14ac:dyDescent="0.25">
      <c r="R53"/>
      <c r="S53"/>
    </row>
    <row r="54" spans="18:19" x14ac:dyDescent="0.25">
      <c r="R54"/>
      <c r="S54"/>
    </row>
    <row r="55" spans="18:19" x14ac:dyDescent="0.25">
      <c r="R55"/>
      <c r="S55"/>
    </row>
    <row r="56" spans="18:19" x14ac:dyDescent="0.25">
      <c r="R56"/>
      <c r="S56"/>
    </row>
    <row r="57" spans="18:19" x14ac:dyDescent="0.25">
      <c r="R57"/>
      <c r="S57"/>
    </row>
    <row r="58" spans="18:19" x14ac:dyDescent="0.25">
      <c r="R58"/>
      <c r="S58"/>
    </row>
    <row r="59" spans="18:19" x14ac:dyDescent="0.25">
      <c r="R59"/>
      <c r="S59"/>
    </row>
    <row r="60" spans="18:19" x14ac:dyDescent="0.25">
      <c r="R60"/>
      <c r="S60"/>
    </row>
    <row r="61" spans="18:19" x14ac:dyDescent="0.25">
      <c r="R61"/>
      <c r="S61"/>
    </row>
    <row r="62" spans="18:19" x14ac:dyDescent="0.25">
      <c r="R62"/>
      <c r="S62"/>
    </row>
    <row r="63" spans="18:19" x14ac:dyDescent="0.25">
      <c r="R63"/>
      <c r="S63"/>
    </row>
    <row r="64" spans="18: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row r="284" spans="18:19" x14ac:dyDescent="0.25">
      <c r="R284"/>
      <c r="S284"/>
    </row>
    <row r="285" spans="18:19" x14ac:dyDescent="0.25">
      <c r="R285"/>
      <c r="S285"/>
    </row>
    <row r="286" spans="18:19" x14ac:dyDescent="0.25">
      <c r="R286"/>
      <c r="S286"/>
    </row>
    <row r="287" spans="18:19" x14ac:dyDescent="0.25">
      <c r="R287"/>
      <c r="S287"/>
    </row>
    <row r="288" spans="18:19" x14ac:dyDescent="0.25">
      <c r="R288"/>
      <c r="S288"/>
    </row>
    <row r="289" spans="18:19" x14ac:dyDescent="0.25">
      <c r="R289"/>
      <c r="S289"/>
    </row>
    <row r="290" spans="18:19" x14ac:dyDescent="0.25">
      <c r="R290"/>
      <c r="S290"/>
    </row>
    <row r="291" spans="18:19" x14ac:dyDescent="0.25">
      <c r="R291"/>
      <c r="S291"/>
    </row>
    <row r="292" spans="18:19" x14ac:dyDescent="0.25">
      <c r="R292"/>
      <c r="S292"/>
    </row>
    <row r="293" spans="18:19" x14ac:dyDescent="0.25">
      <c r="R293"/>
      <c r="S293"/>
    </row>
    <row r="294" spans="18:19" x14ac:dyDescent="0.25">
      <c r="R294"/>
      <c r="S294"/>
    </row>
    <row r="295" spans="18:19" x14ac:dyDescent="0.25">
      <c r="R295"/>
      <c r="S295"/>
    </row>
    <row r="296" spans="18:19" x14ac:dyDescent="0.25">
      <c r="R296"/>
      <c r="S296"/>
    </row>
    <row r="297" spans="18:19" x14ac:dyDescent="0.25">
      <c r="R297"/>
      <c r="S297"/>
    </row>
    <row r="298" spans="18:19" x14ac:dyDescent="0.25">
      <c r="R298"/>
      <c r="S298"/>
    </row>
    <row r="299" spans="18:19" x14ac:dyDescent="0.25">
      <c r="R299"/>
      <c r="S299"/>
    </row>
    <row r="300" spans="18:19" x14ac:dyDescent="0.25">
      <c r="R300"/>
      <c r="S300"/>
    </row>
    <row r="301" spans="18:19" x14ac:dyDescent="0.25">
      <c r="R301"/>
      <c r="S301"/>
    </row>
    <row r="302" spans="18:19" x14ac:dyDescent="0.25">
      <c r="R302"/>
      <c r="S302"/>
    </row>
    <row r="303" spans="18:19" x14ac:dyDescent="0.25">
      <c r="R303"/>
      <c r="S303"/>
    </row>
    <row r="304" spans="18:19" x14ac:dyDescent="0.25">
      <c r="R304"/>
      <c r="S304"/>
    </row>
    <row r="305" spans="18:19" x14ac:dyDescent="0.25">
      <c r="R305"/>
      <c r="S305"/>
    </row>
    <row r="306" spans="18:19" x14ac:dyDescent="0.25">
      <c r="R306"/>
      <c r="S306"/>
    </row>
    <row r="307" spans="18:19" x14ac:dyDescent="0.25">
      <c r="R307"/>
      <c r="S307"/>
    </row>
    <row r="308" spans="18:19" x14ac:dyDescent="0.25">
      <c r="R308"/>
      <c r="S308"/>
    </row>
    <row r="309" spans="18:19" x14ac:dyDescent="0.25">
      <c r="R309"/>
      <c r="S309"/>
    </row>
    <row r="310" spans="18:19" x14ac:dyDescent="0.25">
      <c r="R310"/>
      <c r="S310"/>
    </row>
    <row r="311" spans="18:19" x14ac:dyDescent="0.25">
      <c r="R311"/>
      <c r="S311"/>
    </row>
    <row r="312" spans="18:19" x14ac:dyDescent="0.25">
      <c r="R312"/>
      <c r="S312"/>
    </row>
    <row r="313" spans="18:19" x14ac:dyDescent="0.25">
      <c r="R313"/>
      <c r="S313"/>
    </row>
    <row r="314" spans="18:19" x14ac:dyDescent="0.25">
      <c r="R314"/>
      <c r="S314"/>
    </row>
    <row r="315" spans="18:19" x14ac:dyDescent="0.25">
      <c r="R315"/>
      <c r="S315"/>
    </row>
    <row r="316" spans="18:19" x14ac:dyDescent="0.25">
      <c r="R316"/>
      <c r="S316"/>
    </row>
    <row r="317" spans="18:19" x14ac:dyDescent="0.25">
      <c r="R317"/>
      <c r="S317"/>
    </row>
    <row r="318" spans="18:19" x14ac:dyDescent="0.25">
      <c r="R318"/>
      <c r="S318"/>
    </row>
    <row r="319" spans="18:19" x14ac:dyDescent="0.25">
      <c r="R319"/>
      <c r="S319"/>
    </row>
    <row r="320" spans="18:19" x14ac:dyDescent="0.25">
      <c r="R320"/>
      <c r="S320"/>
    </row>
    <row r="321" spans="18:19" x14ac:dyDescent="0.25">
      <c r="R321"/>
      <c r="S321"/>
    </row>
    <row r="322" spans="18:19" x14ac:dyDescent="0.25">
      <c r="R322"/>
      <c r="S322"/>
    </row>
    <row r="323" spans="18:19" x14ac:dyDescent="0.25">
      <c r="R323"/>
      <c r="S323"/>
    </row>
    <row r="324" spans="18:19" x14ac:dyDescent="0.25">
      <c r="R324"/>
      <c r="S324"/>
    </row>
    <row r="325" spans="18:19" x14ac:dyDescent="0.25">
      <c r="R325"/>
      <c r="S325"/>
    </row>
    <row r="326" spans="18:19" x14ac:dyDescent="0.25">
      <c r="R326"/>
      <c r="S326"/>
    </row>
    <row r="327" spans="18:19" x14ac:dyDescent="0.25">
      <c r="R327"/>
      <c r="S327"/>
    </row>
    <row r="328" spans="18:19" x14ac:dyDescent="0.25">
      <c r="R328"/>
      <c r="S328"/>
    </row>
    <row r="329" spans="18:19" x14ac:dyDescent="0.25">
      <c r="R329"/>
      <c r="S329"/>
    </row>
    <row r="330" spans="18:19" x14ac:dyDescent="0.25">
      <c r="R330"/>
      <c r="S330"/>
    </row>
    <row r="331" spans="18:19" x14ac:dyDescent="0.25">
      <c r="R331"/>
      <c r="S331"/>
    </row>
    <row r="332" spans="18:19" x14ac:dyDescent="0.25">
      <c r="R332"/>
      <c r="S332"/>
    </row>
    <row r="333" spans="18:19" x14ac:dyDescent="0.25">
      <c r="R333"/>
      <c r="S333"/>
    </row>
    <row r="334" spans="18:19" x14ac:dyDescent="0.25">
      <c r="R334"/>
      <c r="S334"/>
    </row>
    <row r="335" spans="18:19" x14ac:dyDescent="0.25">
      <c r="R335"/>
      <c r="S335"/>
    </row>
    <row r="336" spans="18:19" x14ac:dyDescent="0.25">
      <c r="R336"/>
      <c r="S336"/>
    </row>
    <row r="337" spans="18:19" x14ac:dyDescent="0.25">
      <c r="R337"/>
      <c r="S337"/>
    </row>
    <row r="338" spans="18:19" x14ac:dyDescent="0.25">
      <c r="R338"/>
      <c r="S338"/>
    </row>
    <row r="339" spans="18:19" x14ac:dyDescent="0.25">
      <c r="R339"/>
      <c r="S339"/>
    </row>
    <row r="340" spans="18:19" x14ac:dyDescent="0.25">
      <c r="R340"/>
      <c r="S340"/>
    </row>
    <row r="341" spans="18:19" x14ac:dyDescent="0.25">
      <c r="R341"/>
      <c r="S341"/>
    </row>
    <row r="342" spans="18:19" x14ac:dyDescent="0.25">
      <c r="R342"/>
      <c r="S342"/>
    </row>
    <row r="343" spans="18:19" x14ac:dyDescent="0.25">
      <c r="R343"/>
      <c r="S343"/>
    </row>
    <row r="344" spans="18:19" x14ac:dyDescent="0.25">
      <c r="R344"/>
      <c r="S344"/>
    </row>
    <row r="345" spans="18:19" x14ac:dyDescent="0.25">
      <c r="R345"/>
      <c r="S345"/>
    </row>
    <row r="346" spans="18:19" x14ac:dyDescent="0.25">
      <c r="R346"/>
      <c r="S346"/>
    </row>
    <row r="347" spans="18:19" x14ac:dyDescent="0.25">
      <c r="R347"/>
      <c r="S347"/>
    </row>
    <row r="348" spans="18:19" x14ac:dyDescent="0.25">
      <c r="R348"/>
      <c r="S348"/>
    </row>
    <row r="349" spans="18:19" x14ac:dyDescent="0.25">
      <c r="R349"/>
      <c r="S349"/>
    </row>
    <row r="350" spans="18:19" x14ac:dyDescent="0.25">
      <c r="R350"/>
      <c r="S350"/>
    </row>
    <row r="351" spans="18:19" x14ac:dyDescent="0.25">
      <c r="R351"/>
      <c r="S351"/>
    </row>
    <row r="352" spans="18:19" x14ac:dyDescent="0.25">
      <c r="R352"/>
      <c r="S352"/>
    </row>
    <row r="353" spans="18:19" x14ac:dyDescent="0.25">
      <c r="R353"/>
      <c r="S353"/>
    </row>
    <row r="354" spans="18:19" x14ac:dyDescent="0.25">
      <c r="R354"/>
      <c r="S354"/>
    </row>
    <row r="355" spans="18:19" x14ac:dyDescent="0.25">
      <c r="R355"/>
      <c r="S355"/>
    </row>
    <row r="356" spans="18:19" x14ac:dyDescent="0.25">
      <c r="R356"/>
      <c r="S356"/>
    </row>
    <row r="357" spans="18:19" x14ac:dyDescent="0.25">
      <c r="R357"/>
      <c r="S357"/>
    </row>
    <row r="358" spans="18:19" x14ac:dyDescent="0.25">
      <c r="R358"/>
      <c r="S358"/>
    </row>
    <row r="359" spans="18:19" x14ac:dyDescent="0.25">
      <c r="R359"/>
      <c r="S359"/>
    </row>
    <row r="360" spans="18:19" x14ac:dyDescent="0.25">
      <c r="R360"/>
      <c r="S360"/>
    </row>
    <row r="361" spans="18:19" x14ac:dyDescent="0.25">
      <c r="R361"/>
      <c r="S361"/>
    </row>
    <row r="362" spans="18:19" x14ac:dyDescent="0.25">
      <c r="R362"/>
      <c r="S362"/>
    </row>
    <row r="363" spans="18:19" x14ac:dyDescent="0.25">
      <c r="R363"/>
      <c r="S363"/>
    </row>
    <row r="364" spans="18:19" x14ac:dyDescent="0.25">
      <c r="R364"/>
      <c r="S364"/>
    </row>
    <row r="365" spans="18:19" x14ac:dyDescent="0.25">
      <c r="R365"/>
      <c r="S365"/>
    </row>
    <row r="366" spans="18:19" x14ac:dyDescent="0.25">
      <c r="R366"/>
      <c r="S366"/>
    </row>
    <row r="367" spans="18:19" x14ac:dyDescent="0.25">
      <c r="R367"/>
      <c r="S367"/>
    </row>
    <row r="368" spans="18:19" x14ac:dyDescent="0.25">
      <c r="R368"/>
      <c r="S368"/>
    </row>
    <row r="369" spans="18:19" x14ac:dyDescent="0.25">
      <c r="R369"/>
      <c r="S369"/>
    </row>
    <row r="370" spans="18:19" x14ac:dyDescent="0.25">
      <c r="R370"/>
      <c r="S370"/>
    </row>
    <row r="371" spans="18:19" x14ac:dyDescent="0.25">
      <c r="R371"/>
      <c r="S371"/>
    </row>
    <row r="372" spans="18:19" x14ac:dyDescent="0.25">
      <c r="R372"/>
      <c r="S372"/>
    </row>
    <row r="373" spans="18:19" x14ac:dyDescent="0.25">
      <c r="R373"/>
      <c r="S373"/>
    </row>
    <row r="374" spans="18:19" x14ac:dyDescent="0.25">
      <c r="R374"/>
      <c r="S374"/>
    </row>
    <row r="375" spans="18:19" x14ac:dyDescent="0.25">
      <c r="R375"/>
      <c r="S375"/>
    </row>
    <row r="376" spans="18:19" x14ac:dyDescent="0.25">
      <c r="R376"/>
      <c r="S376"/>
    </row>
    <row r="377" spans="18:19" x14ac:dyDescent="0.25">
      <c r="R377"/>
      <c r="S377"/>
    </row>
    <row r="378" spans="18:19" x14ac:dyDescent="0.25">
      <c r="R378"/>
      <c r="S378"/>
    </row>
    <row r="379" spans="18:19" x14ac:dyDescent="0.25">
      <c r="R379"/>
      <c r="S379"/>
    </row>
    <row r="380" spans="18:19" x14ac:dyDescent="0.25">
      <c r="R380"/>
      <c r="S380"/>
    </row>
    <row r="381" spans="18:19" x14ac:dyDescent="0.25">
      <c r="R381"/>
      <c r="S381"/>
    </row>
    <row r="382" spans="18:19" x14ac:dyDescent="0.25">
      <c r="R382"/>
      <c r="S382"/>
    </row>
    <row r="383" spans="18:19" x14ac:dyDescent="0.25">
      <c r="R383"/>
      <c r="S383"/>
    </row>
    <row r="384" spans="18:19" x14ac:dyDescent="0.25">
      <c r="R384"/>
      <c r="S384"/>
    </row>
    <row r="385" spans="18:19" x14ac:dyDescent="0.25">
      <c r="R385"/>
      <c r="S385"/>
    </row>
    <row r="386" spans="18:19" x14ac:dyDescent="0.25">
      <c r="R386"/>
      <c r="S386"/>
    </row>
    <row r="387" spans="18:19" x14ac:dyDescent="0.25">
      <c r="R387"/>
      <c r="S387"/>
    </row>
    <row r="388" spans="18:19" x14ac:dyDescent="0.25">
      <c r="R388"/>
      <c r="S388"/>
    </row>
    <row r="389" spans="18:19" x14ac:dyDescent="0.25">
      <c r="R389"/>
      <c r="S389"/>
    </row>
    <row r="390" spans="18:19" x14ac:dyDescent="0.25">
      <c r="R390"/>
      <c r="S390"/>
    </row>
    <row r="391" spans="18:19" x14ac:dyDescent="0.25">
      <c r="R391"/>
      <c r="S391"/>
    </row>
    <row r="392" spans="18:19" x14ac:dyDescent="0.25">
      <c r="R392"/>
      <c r="S392"/>
    </row>
    <row r="393" spans="18:19" x14ac:dyDescent="0.25">
      <c r="R393"/>
      <c r="S393"/>
    </row>
    <row r="394" spans="18:19" x14ac:dyDescent="0.25">
      <c r="R394"/>
      <c r="S394"/>
    </row>
    <row r="395" spans="18:19" x14ac:dyDescent="0.25">
      <c r="R395"/>
      <c r="S395"/>
    </row>
    <row r="396" spans="18:19" x14ac:dyDescent="0.25">
      <c r="R396"/>
      <c r="S396"/>
    </row>
    <row r="397" spans="18:19" x14ac:dyDescent="0.25">
      <c r="R397"/>
      <c r="S397"/>
    </row>
    <row r="398" spans="18:19" x14ac:dyDescent="0.25">
      <c r="R398"/>
      <c r="S398"/>
    </row>
    <row r="399" spans="18:19" x14ac:dyDescent="0.25">
      <c r="R399"/>
      <c r="S399"/>
    </row>
    <row r="400" spans="18:19" x14ac:dyDescent="0.25">
      <c r="R400"/>
      <c r="S400"/>
    </row>
    <row r="401" spans="18:19" x14ac:dyDescent="0.25">
      <c r="R401"/>
      <c r="S401"/>
    </row>
    <row r="402" spans="18:19" x14ac:dyDescent="0.25">
      <c r="R402"/>
      <c r="S402"/>
    </row>
    <row r="403" spans="18:19" x14ac:dyDescent="0.25">
      <c r="R403"/>
      <c r="S403"/>
    </row>
    <row r="404" spans="18:19" x14ac:dyDescent="0.25">
      <c r="R404"/>
      <c r="S404"/>
    </row>
    <row r="405" spans="18:19" x14ac:dyDescent="0.25">
      <c r="R405"/>
      <c r="S405"/>
    </row>
    <row r="406" spans="18:19" x14ac:dyDescent="0.25">
      <c r="R406"/>
      <c r="S406"/>
    </row>
    <row r="407" spans="18:19" x14ac:dyDescent="0.25">
      <c r="R407"/>
      <c r="S407"/>
    </row>
    <row r="408" spans="18:19" x14ac:dyDescent="0.25">
      <c r="R408"/>
      <c r="S408"/>
    </row>
    <row r="409" spans="18:19" x14ac:dyDescent="0.25">
      <c r="R409"/>
      <c r="S409"/>
    </row>
    <row r="410" spans="18:19" x14ac:dyDescent="0.25">
      <c r="R410"/>
      <c r="S410"/>
    </row>
    <row r="411" spans="18:19" x14ac:dyDescent="0.25">
      <c r="R411"/>
      <c r="S411"/>
    </row>
    <row r="412" spans="18:19" x14ac:dyDescent="0.25">
      <c r="R412"/>
      <c r="S412"/>
    </row>
    <row r="413" spans="18:19" x14ac:dyDescent="0.25">
      <c r="R413"/>
      <c r="S413"/>
    </row>
    <row r="414" spans="18:19" x14ac:dyDescent="0.25">
      <c r="R414"/>
      <c r="S414"/>
    </row>
    <row r="415" spans="18:19" x14ac:dyDescent="0.25">
      <c r="R415"/>
      <c r="S415"/>
    </row>
    <row r="416" spans="18:19" x14ac:dyDescent="0.25">
      <c r="R416"/>
      <c r="S416"/>
    </row>
    <row r="417" spans="18:19" x14ac:dyDescent="0.25">
      <c r="R417"/>
      <c r="S417"/>
    </row>
    <row r="418" spans="18:19" x14ac:dyDescent="0.25">
      <c r="R418"/>
      <c r="S418"/>
    </row>
    <row r="419" spans="18:19" x14ac:dyDescent="0.25">
      <c r="R419"/>
      <c r="S419"/>
    </row>
    <row r="420" spans="18:19" x14ac:dyDescent="0.25">
      <c r="R420"/>
      <c r="S420"/>
    </row>
    <row r="421" spans="18:19" x14ac:dyDescent="0.25">
      <c r="R421"/>
      <c r="S421"/>
    </row>
    <row r="422" spans="18:19" x14ac:dyDescent="0.25">
      <c r="R422"/>
      <c r="S422"/>
    </row>
    <row r="423" spans="18:19" x14ac:dyDescent="0.25">
      <c r="R423"/>
      <c r="S423"/>
    </row>
    <row r="424" spans="18:19" x14ac:dyDescent="0.25">
      <c r="R424"/>
      <c r="S424"/>
    </row>
    <row r="425" spans="18:19" x14ac:dyDescent="0.25">
      <c r="R425"/>
      <c r="S425"/>
    </row>
    <row r="426" spans="18:19" x14ac:dyDescent="0.25">
      <c r="R426"/>
      <c r="S426"/>
    </row>
    <row r="427" spans="18:19" x14ac:dyDescent="0.25">
      <c r="R427"/>
      <c r="S427"/>
    </row>
    <row r="428" spans="18:19" x14ac:dyDescent="0.25">
      <c r="R428"/>
      <c r="S428"/>
    </row>
    <row r="429" spans="18:19" x14ac:dyDescent="0.25">
      <c r="R429"/>
      <c r="S429"/>
    </row>
    <row r="430" spans="18:19" x14ac:dyDescent="0.25">
      <c r="R430"/>
      <c r="S430"/>
    </row>
    <row r="431" spans="18:19" x14ac:dyDescent="0.25">
      <c r="R431"/>
      <c r="S431"/>
    </row>
    <row r="432" spans="18:19" x14ac:dyDescent="0.25">
      <c r="R432"/>
      <c r="S432"/>
    </row>
    <row r="433" spans="18:19" x14ac:dyDescent="0.25">
      <c r="R433"/>
      <c r="S433"/>
    </row>
    <row r="434" spans="18:19" x14ac:dyDescent="0.25">
      <c r="R434"/>
      <c r="S434"/>
    </row>
    <row r="435" spans="18:19" x14ac:dyDescent="0.25">
      <c r="R435"/>
      <c r="S435"/>
    </row>
    <row r="436" spans="18:19" x14ac:dyDescent="0.25">
      <c r="R436"/>
      <c r="S436"/>
    </row>
    <row r="437" spans="18:19" x14ac:dyDescent="0.25">
      <c r="R437"/>
      <c r="S437"/>
    </row>
    <row r="438" spans="18:19" x14ac:dyDescent="0.25">
      <c r="R438"/>
      <c r="S438"/>
    </row>
    <row r="439" spans="18:19" x14ac:dyDescent="0.25">
      <c r="R439"/>
      <c r="S439"/>
    </row>
    <row r="440" spans="18:19" x14ac:dyDescent="0.25">
      <c r="R440"/>
      <c r="S440"/>
    </row>
    <row r="441" spans="18:19" x14ac:dyDescent="0.25">
      <c r="R441"/>
      <c r="S441"/>
    </row>
    <row r="442" spans="18:19" x14ac:dyDescent="0.25">
      <c r="R442"/>
      <c r="S442"/>
    </row>
    <row r="443" spans="18:19" x14ac:dyDescent="0.25">
      <c r="R443"/>
      <c r="S443"/>
    </row>
    <row r="444" spans="18:19" x14ac:dyDescent="0.25">
      <c r="R444"/>
      <c r="S444"/>
    </row>
    <row r="445" spans="18:19" x14ac:dyDescent="0.25">
      <c r="R445"/>
      <c r="S445"/>
    </row>
    <row r="446" spans="18:19" x14ac:dyDescent="0.25">
      <c r="R446"/>
      <c r="S446"/>
    </row>
    <row r="447" spans="18:19" x14ac:dyDescent="0.25">
      <c r="R447"/>
      <c r="S447"/>
    </row>
    <row r="448" spans="18:19" x14ac:dyDescent="0.25">
      <c r="R448"/>
      <c r="S448"/>
    </row>
    <row r="449" spans="18:19" x14ac:dyDescent="0.25">
      <c r="R449"/>
      <c r="S449"/>
    </row>
    <row r="450" spans="18:19" x14ac:dyDescent="0.25">
      <c r="R450"/>
      <c r="S450"/>
    </row>
    <row r="451" spans="18:19" x14ac:dyDescent="0.25">
      <c r="R451"/>
      <c r="S451"/>
    </row>
    <row r="452" spans="18:19" x14ac:dyDescent="0.25">
      <c r="R452"/>
      <c r="S452"/>
    </row>
    <row r="453" spans="18:19" x14ac:dyDescent="0.25">
      <c r="R453"/>
      <c r="S453"/>
    </row>
    <row r="454" spans="18:19" x14ac:dyDescent="0.25">
      <c r="R454"/>
      <c r="S454"/>
    </row>
    <row r="455" spans="18:19" x14ac:dyDescent="0.25">
      <c r="R455"/>
      <c r="S455"/>
    </row>
    <row r="456" spans="18:19" x14ac:dyDescent="0.25">
      <c r="R456"/>
      <c r="S456"/>
    </row>
    <row r="457" spans="18:19" x14ac:dyDescent="0.25">
      <c r="R457"/>
      <c r="S457"/>
    </row>
    <row r="458" spans="18:19" x14ac:dyDescent="0.25">
      <c r="R458"/>
      <c r="S458"/>
    </row>
    <row r="459" spans="18:19" x14ac:dyDescent="0.25">
      <c r="R459"/>
      <c r="S459"/>
    </row>
    <row r="460" spans="18:19" x14ac:dyDescent="0.25">
      <c r="R460"/>
      <c r="S460"/>
    </row>
    <row r="461" spans="18:19" x14ac:dyDescent="0.25">
      <c r="R461"/>
      <c r="S461"/>
    </row>
    <row r="462" spans="18:19" x14ac:dyDescent="0.25">
      <c r="R462"/>
      <c r="S462"/>
    </row>
    <row r="463" spans="18:19" x14ac:dyDescent="0.25">
      <c r="R463"/>
      <c r="S463"/>
    </row>
    <row r="464" spans="18:19" x14ac:dyDescent="0.25">
      <c r="R464"/>
      <c r="S464"/>
    </row>
    <row r="465" spans="18:19" x14ac:dyDescent="0.25">
      <c r="R465"/>
      <c r="S465"/>
    </row>
    <row r="466" spans="18:19" x14ac:dyDescent="0.25">
      <c r="R466"/>
      <c r="S466"/>
    </row>
  </sheetData>
  <pageMargins left="0.7" right="0.7" top="0.75" bottom="0.75" header="0.3" footer="0.3"/>
  <pageSetup paperSize="9" orientation="portrait" r:id="rId1"/>
  <drawing r:id="rId2"/>
  <tableParts count="14">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39459-BB19-41EF-BCE2-8FA17B895716}">
  <sheetPr codeName="Sheet3"/>
  <dimension ref="A1"/>
  <sheetViews>
    <sheetView workbookViewId="0"/>
  </sheetViews>
  <sheetFormatPr defaultRowHeight="15" x14ac:dyDescent="0.25"/>
  <sheetData>
    <row r="1" spans="1:1" ht="30" x14ac:dyDescent="0.25">
      <c r="A1" s="18" t="s">
        <v>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69993-BFF8-4188-8BDB-CD9089DE5661}">
  <sheetPr codeName="Sheet4"/>
  <dimension ref="A1:AE13"/>
  <sheetViews>
    <sheetView workbookViewId="0">
      <selection activeCell="C1" sqref="C1"/>
    </sheetView>
  </sheetViews>
  <sheetFormatPr defaultRowHeight="15" outlineLevelCol="1" x14ac:dyDescent="0.25"/>
  <cols>
    <col min="6" max="11" width="11.140625" customWidth="1" outlineLevel="1"/>
    <col min="12" max="12" width="11.140625" customWidth="1" outlineLevel="1" collapsed="1"/>
    <col min="13" max="18" width="11.140625" customWidth="1" outlineLevel="1"/>
    <col min="19" max="19" width="11.140625" customWidth="1" outlineLevel="1" collapsed="1"/>
    <col min="20" max="25" width="11.140625" customWidth="1" outlineLevel="1"/>
    <col min="26" max="31" width="11.140625" bestFit="1" customWidth="1"/>
  </cols>
  <sheetData>
    <row r="1" spans="1:31" x14ac:dyDescent="0.25">
      <c r="A1" t="s">
        <v>15</v>
      </c>
      <c r="B1" t="s">
        <v>10</v>
      </c>
      <c r="C1" t="s">
        <v>16</v>
      </c>
      <c r="D1" t="s">
        <v>17</v>
      </c>
      <c r="F1" t="str">
        <f ca="1">YEAR(F2)&amp;"'WW"&amp;WEEKNUM(F2)</f>
        <v>2019'WW5</v>
      </c>
      <c r="G1" t="str">
        <f t="shared" ref="G1:AE1" ca="1" si="0">YEAR(G2)&amp;"'WW"&amp;WEEKNUM(G2)</f>
        <v>2019'WW5</v>
      </c>
      <c r="H1" t="str">
        <f t="shared" ca="1" si="0"/>
        <v>2019'WW5</v>
      </c>
      <c r="I1" t="str">
        <f t="shared" ca="1" si="0"/>
        <v>2019'WW5</v>
      </c>
      <c r="J1" t="str">
        <f t="shared" ca="1" si="0"/>
        <v>2019'WW5</v>
      </c>
      <c r="K1" t="str">
        <f t="shared" ca="1" si="0"/>
        <v>2019'WW6</v>
      </c>
      <c r="L1" t="str">
        <f t="shared" ca="1" si="0"/>
        <v>2019'WW6</v>
      </c>
      <c r="M1" t="str">
        <f t="shared" ca="1" si="0"/>
        <v>2019'WW6</v>
      </c>
      <c r="N1" t="str">
        <f t="shared" ca="1" si="0"/>
        <v>2019'WW6</v>
      </c>
      <c r="O1" t="str">
        <f t="shared" ca="1" si="0"/>
        <v>2019'WW6</v>
      </c>
      <c r="P1" t="str">
        <f t="shared" ca="1" si="0"/>
        <v>2019'WW6</v>
      </c>
      <c r="Q1" t="str">
        <f t="shared" ca="1" si="0"/>
        <v>2019'WW6</v>
      </c>
      <c r="R1" t="str">
        <f t="shared" ca="1" si="0"/>
        <v>2019'WW7</v>
      </c>
      <c r="S1" t="str">
        <f t="shared" ca="1" si="0"/>
        <v>2019'WW7</v>
      </c>
      <c r="T1" t="str">
        <f t="shared" ca="1" si="0"/>
        <v>2019'WW7</v>
      </c>
      <c r="U1" t="str">
        <f t="shared" ca="1" si="0"/>
        <v>2019'WW7</v>
      </c>
      <c r="V1" t="str">
        <f t="shared" ca="1" si="0"/>
        <v>2019'WW7</v>
      </c>
      <c r="W1" t="str">
        <f t="shared" ca="1" si="0"/>
        <v>2019'WW7</v>
      </c>
      <c r="X1" t="str">
        <f t="shared" ca="1" si="0"/>
        <v>2019'WW7</v>
      </c>
      <c r="Y1" t="str">
        <f t="shared" ca="1" si="0"/>
        <v>2019'WW8</v>
      </c>
      <c r="Z1" t="str">
        <f t="shared" ca="1" si="0"/>
        <v>2019'WW8</v>
      </c>
      <c r="AA1" t="str">
        <f t="shared" ca="1" si="0"/>
        <v>2019'WW8</v>
      </c>
      <c r="AB1" t="str">
        <f t="shared" ca="1" si="0"/>
        <v>2019'WW8</v>
      </c>
      <c r="AC1" t="str">
        <f t="shared" ca="1" si="0"/>
        <v>2019'WW8</v>
      </c>
      <c r="AD1" t="str">
        <f t="shared" ca="1" si="0"/>
        <v>2019'WW8</v>
      </c>
      <c r="AE1" t="str">
        <f t="shared" ca="1" si="0"/>
        <v>2019'WW8</v>
      </c>
    </row>
    <row r="2" spans="1:31" x14ac:dyDescent="0.25">
      <c r="F2" s="1">
        <f ca="1">TODAY()</f>
        <v>43494</v>
      </c>
      <c r="G2" s="1">
        <f ca="1">F2+1</f>
        <v>43495</v>
      </c>
      <c r="H2" s="1">
        <f t="shared" ref="H2:AE2" ca="1" si="1">G2+1</f>
        <v>43496</v>
      </c>
      <c r="I2" s="1">
        <f t="shared" ca="1" si="1"/>
        <v>43497</v>
      </c>
      <c r="J2" s="1">
        <f t="shared" ca="1" si="1"/>
        <v>43498</v>
      </c>
      <c r="K2" s="1">
        <f t="shared" ca="1" si="1"/>
        <v>43499</v>
      </c>
      <c r="L2" s="1">
        <f t="shared" ca="1" si="1"/>
        <v>43500</v>
      </c>
      <c r="M2" s="1">
        <f t="shared" ca="1" si="1"/>
        <v>43501</v>
      </c>
      <c r="N2" s="1">
        <f t="shared" ca="1" si="1"/>
        <v>43502</v>
      </c>
      <c r="O2" s="1">
        <f t="shared" ca="1" si="1"/>
        <v>43503</v>
      </c>
      <c r="P2" s="1">
        <f t="shared" ca="1" si="1"/>
        <v>43504</v>
      </c>
      <c r="Q2" s="1">
        <f t="shared" ca="1" si="1"/>
        <v>43505</v>
      </c>
      <c r="R2" s="1">
        <f t="shared" ca="1" si="1"/>
        <v>43506</v>
      </c>
      <c r="S2" s="1">
        <f t="shared" ca="1" si="1"/>
        <v>43507</v>
      </c>
      <c r="T2" s="1">
        <f t="shared" ca="1" si="1"/>
        <v>43508</v>
      </c>
      <c r="U2" s="1">
        <f t="shared" ca="1" si="1"/>
        <v>43509</v>
      </c>
      <c r="V2" s="1">
        <f t="shared" ca="1" si="1"/>
        <v>43510</v>
      </c>
      <c r="W2" s="1">
        <f t="shared" ca="1" si="1"/>
        <v>43511</v>
      </c>
      <c r="X2" s="1">
        <f t="shared" ca="1" si="1"/>
        <v>43512</v>
      </c>
      <c r="Y2" s="1">
        <f t="shared" ca="1" si="1"/>
        <v>43513</v>
      </c>
      <c r="Z2" s="1">
        <f t="shared" ca="1" si="1"/>
        <v>43514</v>
      </c>
      <c r="AA2" s="1">
        <f t="shared" ca="1" si="1"/>
        <v>43515</v>
      </c>
      <c r="AB2" s="1">
        <f t="shared" ca="1" si="1"/>
        <v>43516</v>
      </c>
      <c r="AC2" s="1">
        <f t="shared" ca="1" si="1"/>
        <v>43517</v>
      </c>
      <c r="AD2" s="1">
        <f t="shared" ca="1" si="1"/>
        <v>43518</v>
      </c>
      <c r="AE2" s="1">
        <f t="shared" ca="1" si="1"/>
        <v>43519</v>
      </c>
    </row>
    <row r="3" spans="1:31" x14ac:dyDescent="0.25">
      <c r="A3">
        <v>1</v>
      </c>
      <c r="B3" t="s">
        <v>11</v>
      </c>
      <c r="C3">
        <v>30</v>
      </c>
      <c r="D3" s="2">
        <v>38565</v>
      </c>
      <c r="F3" s="3"/>
    </row>
    <row r="4" spans="1:31" x14ac:dyDescent="0.25">
      <c r="A4">
        <v>2</v>
      </c>
      <c r="B4" t="s">
        <v>11</v>
      </c>
      <c r="C4">
        <v>29</v>
      </c>
      <c r="D4" s="2">
        <v>40422</v>
      </c>
    </row>
    <row r="5" spans="1:31" x14ac:dyDescent="0.25">
      <c r="A5">
        <v>3</v>
      </c>
      <c r="B5" t="s">
        <v>11</v>
      </c>
      <c r="C5">
        <v>16</v>
      </c>
      <c r="D5" s="2">
        <v>37165</v>
      </c>
      <c r="G5" s="4"/>
    </row>
    <row r="6" spans="1:31" x14ac:dyDescent="0.25">
      <c r="A6">
        <v>3</v>
      </c>
      <c r="B6" t="s">
        <v>11</v>
      </c>
      <c r="C6">
        <v>2</v>
      </c>
      <c r="D6" s="2">
        <v>37926</v>
      </c>
    </row>
    <row r="7" spans="1:31" x14ac:dyDescent="0.25">
      <c r="A7">
        <v>4</v>
      </c>
      <c r="B7" t="s">
        <v>11</v>
      </c>
      <c r="C7">
        <v>1</v>
      </c>
      <c r="D7" s="2">
        <v>38657</v>
      </c>
      <c r="G7" s="5"/>
    </row>
    <row r="8" spans="1:31" x14ac:dyDescent="0.25">
      <c r="A8">
        <v>5</v>
      </c>
      <c r="B8" t="s">
        <v>11</v>
      </c>
      <c r="C8">
        <v>36</v>
      </c>
      <c r="D8" s="2">
        <v>38687</v>
      </c>
    </row>
    <row r="9" spans="1:31" x14ac:dyDescent="0.25">
      <c r="A9">
        <v>6</v>
      </c>
      <c r="B9" t="s">
        <v>11</v>
      </c>
      <c r="C9">
        <v>91</v>
      </c>
      <c r="D9" s="2">
        <v>38718</v>
      </c>
    </row>
    <row r="10" spans="1:31" x14ac:dyDescent="0.25">
      <c r="A10">
        <v>7</v>
      </c>
      <c r="B10" t="s">
        <v>11</v>
      </c>
      <c r="C10">
        <v>12</v>
      </c>
      <c r="D10" s="2">
        <v>38749</v>
      </c>
    </row>
    <row r="11" spans="1:31" x14ac:dyDescent="0.25">
      <c r="A11">
        <v>88</v>
      </c>
      <c r="B11" t="s">
        <v>11</v>
      </c>
      <c r="C11">
        <v>256</v>
      </c>
      <c r="D11" s="2">
        <v>38777</v>
      </c>
    </row>
    <row r="12" spans="1:31" x14ac:dyDescent="0.25">
      <c r="A12">
        <v>8</v>
      </c>
      <c r="B12" t="s">
        <v>11</v>
      </c>
      <c r="C12">
        <v>1</v>
      </c>
      <c r="D12" s="2">
        <v>38808</v>
      </c>
    </row>
    <row r="13" spans="1:31" x14ac:dyDescent="0.25">
      <c r="C13">
        <v>2</v>
      </c>
      <c r="D13" s="2">
        <v>38838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766E11D81619F7478A0F885841E46E54" ma:contentTypeVersion="6" ma:contentTypeDescription="Create a new document." ma:contentTypeScope="" ma:versionID="22177d6e61c2cea02468ee03b3e9c853">
  <xsd:schema xmlns:xsd="http://www.w3.org/2001/XMLSchema" xmlns:xs="http://www.w3.org/2001/XMLSchema" xmlns:p="http://schemas.microsoft.com/office/2006/metadata/properties" xmlns:ns2="187d7185-452d-40de-a2ba-cd4a09af0539" targetNamespace="http://schemas.microsoft.com/office/2006/metadata/properties" ma:root="true" ma:fieldsID="83c4a6e42d36996b04c5dfb6c07d6c12" ns2:_="">
    <xsd:import namespace="187d7185-452d-40de-a2ba-cd4a09af0539"/>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AutoTag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7d7185-452d-40de-a2ba-cd4a09af053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753FAE-55B6-4C67-8410-B83BEE6A3190}">
  <ds:schemaRefs>
    <ds:schemaRef ds:uri="http://schemas.microsoft.com/sharepoint/v3/contenttype/forms"/>
  </ds:schemaRefs>
</ds:datastoreItem>
</file>

<file path=customXml/itemProps2.xml><?xml version="1.0" encoding="utf-8"?>
<ds:datastoreItem xmlns:ds="http://schemas.openxmlformats.org/officeDocument/2006/customXml" ds:itemID="{75B71612-AB96-4053-B91F-DFDFDA3C6F5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87d7185-452d-40de-a2ba-cd4a09af0539"/>
    <ds:schemaRef ds:uri="http://www.w3.org/XML/1998/namespace"/>
    <ds:schemaRef ds:uri="http://purl.org/dc/dcmitype/"/>
  </ds:schemaRefs>
</ds:datastoreItem>
</file>

<file path=customXml/itemProps3.xml><?xml version="1.0" encoding="utf-8"?>
<ds:datastoreItem xmlns:ds="http://schemas.openxmlformats.org/officeDocument/2006/customXml" ds:itemID="{C104798A-31D9-4789-824D-7B93B7F0AF2C}">
  <ds:schemaRefs>
    <ds:schemaRef ds:uri="http://schemas.microsoft.com/DataMashup"/>
  </ds:schemaRefs>
</ds:datastoreItem>
</file>

<file path=customXml/itemProps4.xml><?xml version="1.0" encoding="utf-8"?>
<ds:datastoreItem xmlns:ds="http://schemas.openxmlformats.org/officeDocument/2006/customXml" ds:itemID="{4974B728-1128-4C61-AAB3-E83C5697CD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7d7185-452d-40de-a2ba-cd4a09af05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Create</vt:lpstr>
      <vt:lpstr>Query_Update</vt:lpstr>
      <vt:lpstr>Analysis</vt:lpstr>
      <vt:lpstr>Holidays</vt:lpstr>
      <vt:lpstr>Updates</vt:lpstr>
      <vt:lpstr>Requests</vt:lpstr>
      <vt:lpstr>IDs</vt:lpstr>
      <vt:lpstr>ChangeTracker</vt:lpstr>
      <vt:lpstr>Gantt_WIP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Vivekanand</dc:creator>
  <cp:keywords>CTPClassification=CTP_NT</cp:keywords>
  <cp:lastModifiedBy>Vivekanand</cp:lastModifiedBy>
  <dcterms:created xsi:type="dcterms:W3CDTF">2018-11-02T10:07:30Z</dcterms:created>
  <dcterms:modified xsi:type="dcterms:W3CDTF">2019-01-29T12:14:31Z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5aea649f-894d-4f1f-9a7a-bb88e01b2fa9</vt:lpwstr>
  </property>
  <property fmtid="{D5CDD505-2E9C-101B-9397-08002B2CF9AE}" pid="3" name="CTP_TimeStamp">
    <vt:lpwstr>2019-01-29 12:14:31Z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0x010100766E11D81619F7478A0F885841E46E54</vt:lpwstr>
  </property>
  <property fmtid="{D5CDD505-2E9C-101B-9397-08002B2CF9AE}" pid="8" name="ES_DATASOURCESYSTEM">
    <vt:lpwstr>Production</vt:lpwstr>
  </property>
  <property fmtid="{D5CDD505-2E9C-101B-9397-08002B2CF9AE}" pid="9" name="ES_MAGAZINECATEGORY">
    <vt:lpwstr>tenant</vt:lpwstr>
  </property>
  <property fmtid="{D5CDD505-2E9C-101B-9397-08002B2CF9AE}" pid="10" name="ES_MAGAZINEID">
    <vt:lpwstr>1205695520</vt:lpwstr>
  </property>
  <property fmtid="{D5CDD505-2E9C-101B-9397-08002B2CF9AE}" pid="11" name="ES_MAGAZINENAME">
    <vt:lpwstr>ip_sw_graphics.tenant</vt:lpwstr>
  </property>
  <property fmtid="{D5CDD505-2E9C-101B-9397-08002B2CF9AE}" pid="12" name="CTPClassification">
    <vt:lpwstr>CTP_NT</vt:lpwstr>
  </property>
</Properties>
</file>